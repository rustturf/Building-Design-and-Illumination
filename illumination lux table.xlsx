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\Desktop\"/>
    </mc:Choice>
  </mc:AlternateContent>
  <xr:revisionPtr revIDLastSave="0" documentId="13_ncr:1_{5FAD615D-B0F5-4088-8844-495425A7F3A9}" xr6:coauthVersionLast="47" xr6:coauthVersionMax="47" xr10:uidLastSave="{00000000-0000-0000-0000-000000000000}"/>
  <bookViews>
    <workbookView xWindow="-108" yWindow="-108" windowWidth="23256" windowHeight="13176" firstSheet="1" activeTab="1" xr2:uid="{135F844F-3CFD-4472-91DB-9D7B4396CB16}"/>
  </bookViews>
  <sheets>
    <sheet name="lux table" sheetId="2" r:id="rId1"/>
    <sheet name="Tp mccb calculation" sheetId="5" r:id="rId2"/>
  </sheets>
  <calcPr calcId="191028"/>
  <customWorkbookViews>
    <customWorkbookView name="Basement Floor Illumination" guid="{23558051-3FCA-4266-B327-5DF2EFFDB670}" maximized="1" xWindow="-9" yWindow="-9" windowWidth="1938" windowHeight="1098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5" l="1"/>
  <c r="N20" i="5" s="1"/>
  <c r="I12" i="5"/>
  <c r="R74" i="2"/>
  <c r="M4" i="2"/>
  <c r="H110" i="2"/>
  <c r="H99" i="2"/>
  <c r="H77" i="2"/>
  <c r="H57" i="2"/>
  <c r="H39" i="2"/>
  <c r="N75" i="5"/>
  <c r="N35" i="5"/>
  <c r="K79" i="5"/>
  <c r="K45" i="5"/>
  <c r="G2" i="5"/>
  <c r="L68" i="5"/>
  <c r="L78" i="5"/>
  <c r="J75" i="5"/>
  <c r="K75" i="5" s="1"/>
  <c r="L75" i="5" s="1"/>
  <c r="J78" i="5"/>
  <c r="K78" i="5" s="1"/>
  <c r="J62" i="5"/>
  <c r="K62" i="5" s="1"/>
  <c r="L62" i="5" s="1"/>
  <c r="J66" i="5"/>
  <c r="K66" i="5" s="1"/>
  <c r="L66" i="5" s="1"/>
  <c r="J68" i="5"/>
  <c r="K68" i="5" s="1"/>
  <c r="J49" i="5"/>
  <c r="K49" i="5" s="1"/>
  <c r="L49" i="5" s="1"/>
  <c r="J54" i="5"/>
  <c r="K54" i="5" s="1"/>
  <c r="L54" i="5" s="1"/>
  <c r="J56" i="5"/>
  <c r="K56" i="5" s="1"/>
  <c r="L56" i="5" s="1"/>
  <c r="J39" i="5"/>
  <c r="K39" i="5" s="1"/>
  <c r="L39" i="5" s="1"/>
  <c r="J42" i="5"/>
  <c r="K42" i="5" s="1"/>
  <c r="L42" i="5" s="1"/>
  <c r="J44" i="5"/>
  <c r="K44" i="5" s="1"/>
  <c r="L44" i="5" s="1"/>
  <c r="J35" i="5"/>
  <c r="K35" i="5" s="1"/>
  <c r="L35" i="5" s="1"/>
  <c r="J25" i="5"/>
  <c r="K25" i="5" s="1"/>
  <c r="L25" i="5" s="1"/>
  <c r="J26" i="5"/>
  <c r="K26" i="5" s="1"/>
  <c r="L26" i="5" s="1"/>
  <c r="J30" i="5"/>
  <c r="K30" i="5" s="1"/>
  <c r="L30" i="5" s="1"/>
  <c r="J20" i="5"/>
  <c r="K20" i="5" s="1"/>
  <c r="L20" i="5" s="1"/>
  <c r="H4" i="5"/>
  <c r="G4" i="5"/>
  <c r="G8" i="5"/>
  <c r="I8" i="5" s="1"/>
  <c r="J8" i="5" s="1"/>
  <c r="G11" i="5"/>
  <c r="I11" i="5" s="1"/>
  <c r="J11" i="5" s="1"/>
  <c r="H2" i="5"/>
  <c r="R39" i="2"/>
  <c r="R13" i="2"/>
  <c r="R14" i="2"/>
  <c r="R15" i="2"/>
  <c r="R16" i="2"/>
  <c r="R17" i="2"/>
  <c r="R18" i="2"/>
  <c r="R19" i="2"/>
  <c r="R20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62" i="2"/>
  <c r="R63" i="2"/>
  <c r="R64" i="2"/>
  <c r="R65" i="2"/>
  <c r="R66" i="2"/>
  <c r="R67" i="2"/>
  <c r="R68" i="2"/>
  <c r="R69" i="2"/>
  <c r="R70" i="2"/>
  <c r="R71" i="2"/>
  <c r="R72" i="2"/>
  <c r="R73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101" i="2"/>
  <c r="R102" i="2"/>
  <c r="R103" i="2"/>
  <c r="R104" i="2"/>
  <c r="R105" i="2"/>
  <c r="R106" i="2"/>
  <c r="R107" i="2"/>
  <c r="R108" i="2"/>
  <c r="R109" i="2"/>
  <c r="R12" i="2"/>
  <c r="H109" i="2"/>
  <c r="P109" i="2" s="1"/>
  <c r="H94" i="2"/>
  <c r="P94" i="2" s="1"/>
  <c r="H71" i="2"/>
  <c r="P71" i="2" s="1"/>
  <c r="H44" i="2"/>
  <c r="P44" i="2" s="1"/>
  <c r="H14" i="2"/>
  <c r="P14" i="2" s="1"/>
  <c r="H55" i="2"/>
  <c r="P55" i="2" s="1"/>
  <c r="H53" i="2"/>
  <c r="P53" i="2" s="1"/>
  <c r="H56" i="2"/>
  <c r="P56" i="2" s="1"/>
  <c r="H46" i="2"/>
  <c r="P46" i="2" s="1"/>
  <c r="H45" i="2"/>
  <c r="P45" i="2" s="1"/>
  <c r="H38" i="2"/>
  <c r="P38" i="2" s="1"/>
  <c r="H40" i="2"/>
  <c r="P40" i="2" s="1"/>
  <c r="H41" i="2"/>
  <c r="P41" i="2" s="1"/>
  <c r="H42" i="2"/>
  <c r="P42" i="2" s="1"/>
  <c r="H43" i="2"/>
  <c r="P43" i="2" s="1"/>
  <c r="H47" i="2"/>
  <c r="P47" i="2" s="1"/>
  <c r="H48" i="2"/>
  <c r="P48" i="2" s="1"/>
  <c r="H49" i="2"/>
  <c r="P49" i="2" s="1"/>
  <c r="H50" i="2"/>
  <c r="P50" i="2" s="1"/>
  <c r="H51" i="2"/>
  <c r="P51" i="2" s="1"/>
  <c r="H52" i="2"/>
  <c r="P52" i="2" s="1"/>
  <c r="H54" i="2"/>
  <c r="P54" i="2" s="1"/>
  <c r="H62" i="2"/>
  <c r="P62" i="2" s="1"/>
  <c r="H63" i="2"/>
  <c r="P63" i="2" s="1"/>
  <c r="H64" i="2"/>
  <c r="P64" i="2" s="1"/>
  <c r="H65" i="2"/>
  <c r="P65" i="2" s="1"/>
  <c r="H66" i="2"/>
  <c r="P66" i="2" s="1"/>
  <c r="H67" i="2"/>
  <c r="P67" i="2" s="1"/>
  <c r="H68" i="2"/>
  <c r="P68" i="2" s="1"/>
  <c r="H69" i="2"/>
  <c r="P69" i="2" s="1"/>
  <c r="H70" i="2"/>
  <c r="P70" i="2" s="1"/>
  <c r="H72" i="2"/>
  <c r="P72" i="2" s="1"/>
  <c r="H73" i="2"/>
  <c r="P73" i="2" s="1"/>
  <c r="H74" i="2"/>
  <c r="P74" i="2" s="1"/>
  <c r="H81" i="2"/>
  <c r="P81" i="2" s="1"/>
  <c r="H82" i="2"/>
  <c r="P82" i="2" s="1"/>
  <c r="H83" i="2"/>
  <c r="P83" i="2" s="1"/>
  <c r="H84" i="2"/>
  <c r="P84" i="2" s="1"/>
  <c r="H85" i="2"/>
  <c r="P85" i="2" s="1"/>
  <c r="H86" i="2"/>
  <c r="P86" i="2" s="1"/>
  <c r="H87" i="2"/>
  <c r="P87" i="2" s="1"/>
  <c r="H88" i="2"/>
  <c r="P88" i="2" s="1"/>
  <c r="H89" i="2"/>
  <c r="P89" i="2" s="1"/>
  <c r="H90" i="2"/>
  <c r="P90" i="2" s="1"/>
  <c r="H91" i="2"/>
  <c r="P91" i="2" s="1"/>
  <c r="H92" i="2"/>
  <c r="P92" i="2" s="1"/>
  <c r="H93" i="2"/>
  <c r="P93" i="2" s="1"/>
  <c r="H95" i="2"/>
  <c r="P95" i="2" s="1"/>
  <c r="H96" i="2"/>
  <c r="P96" i="2" s="1"/>
  <c r="H97" i="2"/>
  <c r="P97" i="2" s="1"/>
  <c r="H101" i="2"/>
  <c r="P101" i="2" s="1"/>
  <c r="H102" i="2"/>
  <c r="P102" i="2" s="1"/>
  <c r="H103" i="2"/>
  <c r="P103" i="2" s="1"/>
  <c r="H104" i="2"/>
  <c r="P104" i="2" s="1"/>
  <c r="H105" i="2"/>
  <c r="P105" i="2" s="1"/>
  <c r="H106" i="2"/>
  <c r="P106" i="2" s="1"/>
  <c r="H107" i="2"/>
  <c r="P107" i="2" s="1"/>
  <c r="H108" i="2"/>
  <c r="P108" i="2" s="1"/>
  <c r="H25" i="2"/>
  <c r="P25" i="2" s="1"/>
  <c r="H26" i="2"/>
  <c r="P26" i="2" s="1"/>
  <c r="H27" i="2"/>
  <c r="P27" i="2" s="1"/>
  <c r="H28" i="2"/>
  <c r="P28" i="2" s="1"/>
  <c r="H29" i="2"/>
  <c r="P29" i="2" s="1"/>
  <c r="H30" i="2"/>
  <c r="P30" i="2" s="1"/>
  <c r="H31" i="2"/>
  <c r="P31" i="2" s="1"/>
  <c r="H32" i="2"/>
  <c r="P32" i="2" s="1"/>
  <c r="H33" i="2"/>
  <c r="P33" i="2" s="1"/>
  <c r="H34" i="2"/>
  <c r="P34" i="2" s="1"/>
  <c r="H35" i="2"/>
  <c r="P35" i="2" s="1"/>
  <c r="H36" i="2"/>
  <c r="P36" i="2" s="1"/>
  <c r="H37" i="2"/>
  <c r="P37" i="2" s="1"/>
  <c r="H24" i="2"/>
  <c r="P24" i="2" s="1"/>
  <c r="H13" i="2"/>
  <c r="P13" i="2" s="1"/>
  <c r="H15" i="2"/>
  <c r="P15" i="2" s="1"/>
  <c r="H16" i="2"/>
  <c r="P16" i="2" s="1"/>
  <c r="H17" i="2"/>
  <c r="P17" i="2" s="1"/>
  <c r="H18" i="2"/>
  <c r="P18" i="2" s="1"/>
  <c r="H19" i="2"/>
  <c r="P19" i="2" s="1"/>
  <c r="H20" i="2"/>
  <c r="P20" i="2" s="1"/>
  <c r="H12" i="2"/>
  <c r="P12" i="2" s="1"/>
  <c r="K71" i="5" l="1"/>
  <c r="N62" i="5" s="1"/>
  <c r="K57" i="5"/>
  <c r="N49" i="5" s="1"/>
  <c r="I2" i="5"/>
  <c r="J2" i="5" s="1"/>
  <c r="I4" i="5"/>
  <c r="J4" i="5" s="1"/>
  <c r="L15" i="5" l="1"/>
  <c r="L2" i="5"/>
  <c r="N16" i="5"/>
  <c r="N17" i="5" s="1"/>
</calcChain>
</file>

<file path=xl/sharedStrings.xml><?xml version="1.0" encoding="utf-8"?>
<sst xmlns="http://schemas.openxmlformats.org/spreadsheetml/2006/main" count="415" uniqueCount="145">
  <si>
    <t>Illumination and Design Table</t>
  </si>
  <si>
    <t>1sq.ft=0.0929 sq.m</t>
  </si>
  <si>
    <t>ILLUMINATION TABLE DESIGN</t>
  </si>
  <si>
    <t>1SQ.FT=</t>
  </si>
  <si>
    <t>0.0929 sq.m</t>
  </si>
  <si>
    <t>S.N</t>
  </si>
  <si>
    <t xml:space="preserve">Location/Floor </t>
  </si>
  <si>
    <t>Details</t>
  </si>
  <si>
    <t>Standard Lux</t>
  </si>
  <si>
    <t>Required Lux€</t>
  </si>
  <si>
    <t>Area (sq. ft)</t>
  </si>
  <si>
    <t>Area (sq. meter)-(A)</t>
  </si>
  <si>
    <t xml:space="preserve">Utilization factor </t>
  </si>
  <si>
    <t>Maintainance Facor</t>
  </si>
  <si>
    <t>Effeciency (lumen/Watt)</t>
  </si>
  <si>
    <t>Wattage per bulb</t>
  </si>
  <si>
    <t>Lamp Flux in Lumen (Φ)</t>
  </si>
  <si>
    <t>Light Fixture(s) Used</t>
  </si>
  <si>
    <t>No of Lamp per luminairies</t>
  </si>
  <si>
    <t>No of Lumenaries</t>
  </si>
  <si>
    <t>Corrected no of Lumenaries(N)</t>
  </si>
  <si>
    <t>Total Watts</t>
  </si>
  <si>
    <t>Basement Floor Plan</t>
  </si>
  <si>
    <t>18 Car Parking</t>
  </si>
  <si>
    <t>20-30-50</t>
  </si>
  <si>
    <t>Titania Plus T8 LED TUBE</t>
  </si>
  <si>
    <t>Other Cars</t>
  </si>
  <si>
    <t>Stairs</t>
  </si>
  <si>
    <t>50-100-150</t>
  </si>
  <si>
    <t>Coreline Downlight</t>
  </si>
  <si>
    <t>Guard Room</t>
  </si>
  <si>
    <t>Coreline Slim Downlight</t>
  </si>
  <si>
    <t>Store</t>
  </si>
  <si>
    <t>Phillips Green Ledi</t>
  </si>
  <si>
    <t>Electrical Duct</t>
  </si>
  <si>
    <t>ADORE LED LAMP DIM A19-11W 5K E26</t>
  </si>
  <si>
    <t>Transformer Unit</t>
  </si>
  <si>
    <t>100-150-200</t>
  </si>
  <si>
    <t>Canopy Light</t>
  </si>
  <si>
    <t>Bike Parking</t>
  </si>
  <si>
    <t>Aune Slop</t>
  </si>
  <si>
    <t>Consta Pro LED Strip Light</t>
  </si>
  <si>
    <t>Ground Floor Plan</t>
  </si>
  <si>
    <t>Office 1</t>
  </si>
  <si>
    <t>300-500-750</t>
  </si>
  <si>
    <t>Hercules LED PANEL</t>
  </si>
  <si>
    <t>Washroom office1</t>
  </si>
  <si>
    <t>Philips Greenledi</t>
  </si>
  <si>
    <t>Generator Room</t>
  </si>
  <si>
    <t>Fire staircase going room</t>
  </si>
  <si>
    <t>150-200-300</t>
  </si>
  <si>
    <t>Lobby</t>
  </si>
  <si>
    <t>Staircase</t>
  </si>
  <si>
    <t>Coffee Shop</t>
  </si>
  <si>
    <t>Fitting room 1(mango store)</t>
  </si>
  <si>
    <t>Fitting room2(Mango store)</t>
  </si>
  <si>
    <t>Mango Store</t>
  </si>
  <si>
    <t>Staircase(Mango Store)</t>
  </si>
  <si>
    <t>W2f5c1</t>
  </si>
  <si>
    <t>Fire Staircase</t>
  </si>
  <si>
    <t>First Floor Plan</t>
  </si>
  <si>
    <t>Office 3</t>
  </si>
  <si>
    <t>Entrance to washroom</t>
  </si>
  <si>
    <t>washroom w1f2CO</t>
  </si>
  <si>
    <t>Another washroom D2V!</t>
  </si>
  <si>
    <t>Stair</t>
  </si>
  <si>
    <t>Office 2</t>
  </si>
  <si>
    <t>Drawing Room</t>
  </si>
  <si>
    <t>Stair to go to office 2</t>
  </si>
  <si>
    <t>Washroom in trapezium room</t>
  </si>
  <si>
    <t>Box inside trapezium area</t>
  </si>
  <si>
    <t>Looby type to go washroom</t>
  </si>
  <si>
    <t>Riser Tread</t>
  </si>
  <si>
    <t>Fire Staircase Entrance</t>
  </si>
  <si>
    <t>Drawing Room 2</t>
  </si>
  <si>
    <t>Second Floor Plan</t>
  </si>
  <si>
    <t>Office 4</t>
  </si>
  <si>
    <t>Lobby to washroomm</t>
  </si>
  <si>
    <t>Washroom D2 office 4</t>
  </si>
  <si>
    <t>Basin room</t>
  </si>
  <si>
    <t>Office 5</t>
  </si>
  <si>
    <t>Lobby to washroom office 5</t>
  </si>
  <si>
    <t>Washroom D2 office 5</t>
  </si>
  <si>
    <t>Basin room office 5</t>
  </si>
  <si>
    <t>Third Floor To Fifth Floor Plan</t>
  </si>
  <si>
    <t>Office 6</t>
  </si>
  <si>
    <t>Wahsfroom lobby office 6</t>
  </si>
  <si>
    <t>washroom</t>
  </si>
  <si>
    <t>Basin Room</t>
  </si>
  <si>
    <t>Office 7</t>
  </si>
  <si>
    <t>Washroom lobby office 7</t>
  </si>
  <si>
    <t>wahshroom</t>
  </si>
  <si>
    <t>Office 8</t>
  </si>
  <si>
    <t>Washroom Lobby office 8</t>
  </si>
  <si>
    <t xml:space="preserve">Washroom </t>
  </si>
  <si>
    <t>Top Floor Plan</t>
  </si>
  <si>
    <t>Office 15</t>
  </si>
  <si>
    <t>Washroom Lobby</t>
  </si>
  <si>
    <t>Washroom</t>
  </si>
  <si>
    <t>Basin</t>
  </si>
  <si>
    <t>FLOOR</t>
  </si>
  <si>
    <t>DB_Boxes</t>
  </si>
  <si>
    <t xml:space="preserve">Power circuit </t>
  </si>
  <si>
    <t>POWER WATT</t>
  </si>
  <si>
    <t>NO OF LIGHT</t>
  </si>
  <si>
    <t>WATTAGE OF LIGHT</t>
  </si>
  <si>
    <t>TOTAL POWER CIRCUIT WATT</t>
  </si>
  <si>
    <t>TOTAL LIGHT CIRCUIT WATT</t>
  </si>
  <si>
    <t>TOTAL WATTS</t>
  </si>
  <si>
    <t>CURRENT RATING</t>
  </si>
  <si>
    <t>RATING OF  MCB /MCCB USED(AFTER SDB)</t>
  </si>
  <si>
    <t>3 PHASELINE  CURRENT  OF FDB</t>
  </si>
  <si>
    <t>MCCB RATING USED</t>
  </si>
  <si>
    <t>Basement floor Plan</t>
  </si>
  <si>
    <t>SDB1</t>
  </si>
  <si>
    <t>32A, DP MCB</t>
  </si>
  <si>
    <t>40A, TP MCCB</t>
  </si>
  <si>
    <t>SDB 2</t>
  </si>
  <si>
    <t>20A, DP MCB</t>
  </si>
  <si>
    <t>SDB 3</t>
  </si>
  <si>
    <t>BFDB</t>
  </si>
  <si>
    <t>-</t>
  </si>
  <si>
    <t>TOTAL:</t>
  </si>
  <si>
    <t>MDB MCCB RATING=</t>
  </si>
  <si>
    <t>300A</t>
  </si>
  <si>
    <t>AC SOCKET</t>
  </si>
  <si>
    <t>AC WATT</t>
  </si>
  <si>
    <t>Total Current</t>
  </si>
  <si>
    <t>Rating of MCB/MCCB USED</t>
  </si>
  <si>
    <t>SDB 1</t>
  </si>
  <si>
    <t>32A, TP MCCB</t>
  </si>
  <si>
    <t>63A, TPMCCB</t>
  </si>
  <si>
    <t>20A, TP MCCB</t>
  </si>
  <si>
    <t>GFDB</t>
  </si>
  <si>
    <t>FIRST FLOOR PLAN</t>
  </si>
  <si>
    <t>FFDB</t>
  </si>
  <si>
    <t>SECOND FLOOR PLAN</t>
  </si>
  <si>
    <t>25A, TP MCCB</t>
  </si>
  <si>
    <t>SFDB</t>
  </si>
  <si>
    <t>Third to fifth floor plan</t>
  </si>
  <si>
    <t>100A, TP MCCB</t>
  </si>
  <si>
    <t>TFDB</t>
  </si>
  <si>
    <t>Top Floor plan</t>
  </si>
  <si>
    <t>50A, TP MCCB</t>
  </si>
  <si>
    <t>TOPFDB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</si>
</sst>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3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textRotation="90"/>
    </xf>
    <xf numFmtId="0" fontId="7" fillId="0" borderId="0" xfId="0" applyFont="1" applyAlignment="1">
      <alignment textRotation="90"/>
    </xf>
    <xf numFmtId="0" fontId="6" fillId="0" borderId="0" xfId="0" applyFont="1" applyAlignment="1">
      <alignment vertical="center" textRotation="90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center"/>
    </xf>
    <xf numFmtId="0" fontId="6" fillId="0" borderId="8" xfId="0" applyFont="1" applyBorder="1" applyAlignment="1">
      <alignment vertical="center" textRotation="90"/>
    </xf>
    <xf numFmtId="0" fontId="0" fillId="0" borderId="8" xfId="0" applyBorder="1" applyAlignment="1">
      <alignment horizontal="center"/>
    </xf>
    <xf numFmtId="0" fontId="7" fillId="0" borderId="0" xfId="0" applyFont="1" applyAlignment="1">
      <alignment indent="1"/>
    </xf>
    <xf numFmtId="0" fontId="7" fillId="0" borderId="0" xfId="0" applyFont="1" applyAlignment="1">
      <alignment horizontal="right" indent="1"/>
    </xf>
    <xf numFmtId="0" fontId="0" fillId="0" borderId="1" xfId="0" applyBorder="1" applyAlignment="1">
      <alignment horizontal="center" textRotation="90"/>
    </xf>
    <xf numFmtId="0" fontId="0" fillId="0" borderId="0" xfId="0" applyAlignment="1">
      <alignment horizontal="center" textRotation="90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 wrapText="1"/>
    </xf>
    <xf numFmtId="0" fontId="8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 textRotation="90"/>
    </xf>
    <xf numFmtId="0" fontId="6" fillId="0" borderId="7" xfId="0" applyFont="1" applyBorder="1" applyAlignment="1">
      <alignment horizontal="center" vertical="center" textRotation="90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3" xfId="0" applyFont="1" applyBorder="1" applyAlignment="1">
      <alignment horizontal="center" vertical="center" textRotation="90" wrapText="1"/>
    </xf>
    <xf numFmtId="0" fontId="6" fillId="0" borderId="6" xfId="0" applyFont="1" applyBorder="1" applyAlignment="1">
      <alignment horizontal="center" vertical="center" textRotation="90"/>
    </xf>
    <xf numFmtId="0" fontId="6" fillId="0" borderId="2" xfId="0" applyFont="1" applyBorder="1" applyAlignment="1">
      <alignment horizontal="center" vertical="center" textRotation="90"/>
    </xf>
    <xf numFmtId="0" fontId="6" fillId="0" borderId="3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center" vertical="center" textRotation="90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FC67FF7-0F9F-4624-87E1-2F441F8A3D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7059-2985-4741-8479-1B11DF738CBA}">
  <sheetPr>
    <pageSetUpPr autoPageBreaks="0"/>
  </sheetPr>
  <dimension ref="B1:X111"/>
  <sheetViews>
    <sheetView topLeftCell="H1" zoomScale="70" zoomScaleNormal="70" workbookViewId="0">
      <selection activeCell="N54" sqref="N54"/>
    </sheetView>
  </sheetViews>
  <sheetFormatPr defaultRowHeight="14.45"/>
  <cols>
    <col min="1" max="1" width="8.85546875" customWidth="1"/>
    <col min="2" max="2" width="8.42578125" bestFit="1" customWidth="1"/>
    <col min="3" max="3" width="19.42578125" customWidth="1"/>
    <col min="4" max="4" width="27.42578125" customWidth="1"/>
    <col min="5" max="5" width="14.28515625" bestFit="1" customWidth="1"/>
    <col min="6" max="6" width="8.5703125" bestFit="1" customWidth="1"/>
    <col min="7" max="7" width="12.28515625" bestFit="1" customWidth="1"/>
    <col min="8" max="8" width="14.7109375" bestFit="1" customWidth="1"/>
    <col min="9" max="9" width="8.5703125" bestFit="1" customWidth="1"/>
    <col min="10" max="10" width="11" customWidth="1"/>
    <col min="11" max="11" width="21.140625" bestFit="1" customWidth="1"/>
    <col min="12" max="12" width="17.28515625" bestFit="1" customWidth="1"/>
    <col min="13" max="13" width="20.5703125" bestFit="1" customWidth="1"/>
    <col min="14" max="14" width="38.85546875" customWidth="1"/>
    <col min="15" max="15" width="20.28515625" bestFit="1" customWidth="1"/>
    <col min="16" max="16" width="24.140625" bestFit="1" customWidth="1"/>
    <col min="17" max="17" width="24.5703125" bestFit="1" customWidth="1"/>
    <col min="18" max="18" width="13.28515625" style="8" bestFit="1" customWidth="1"/>
    <col min="20" max="20" width="12.85546875" bestFit="1" customWidth="1"/>
    <col min="21" max="21" width="11.5703125" bestFit="1" customWidth="1"/>
    <col min="22" max="22" width="8" bestFit="1" customWidth="1"/>
    <col min="23" max="23" width="5.5703125" bestFit="1" customWidth="1"/>
    <col min="24" max="24" width="8" bestFit="1" customWidth="1"/>
  </cols>
  <sheetData>
    <row r="1" spans="2:24" ht="0.6" customHeight="1">
      <c r="H1" s="38" t="s">
        <v>0</v>
      </c>
      <c r="I1" s="38"/>
      <c r="J1" s="38"/>
      <c r="K1" s="38"/>
      <c r="L1" s="38"/>
      <c r="M1" s="38"/>
      <c r="N1" s="38"/>
      <c r="O1" s="38"/>
    </row>
    <row r="2" spans="2:24" ht="7.9" hidden="1" customHeight="1">
      <c r="H2" s="38"/>
      <c r="I2" s="38"/>
      <c r="J2" s="38"/>
      <c r="K2" s="38"/>
      <c r="L2" s="38"/>
      <c r="M2" s="38"/>
      <c r="N2" s="38"/>
      <c r="O2" s="38"/>
    </row>
    <row r="3" spans="2:24" ht="8.4499999999999993" hidden="1" customHeight="1">
      <c r="J3" s="39" t="s">
        <v>1</v>
      </c>
      <c r="K3" s="40"/>
      <c r="L3" s="40"/>
    </row>
    <row r="4" spans="2:24" hidden="1">
      <c r="M4">
        <f>791.604*0.0929</f>
        <v>73.5400116</v>
      </c>
    </row>
    <row r="5" spans="2:24" hidden="1">
      <c r="M5" s="1"/>
      <c r="N5" s="1"/>
      <c r="O5" s="1"/>
      <c r="P5" s="1"/>
      <c r="Q5" s="1"/>
      <c r="R5" s="9"/>
      <c r="T5" s="1"/>
      <c r="U5" s="1"/>
      <c r="V5" s="1"/>
      <c r="W5" s="1"/>
      <c r="X5" s="1"/>
    </row>
    <row r="6" spans="2:24" ht="48" customHeight="1">
      <c r="B6" s="17"/>
      <c r="C6" s="18"/>
      <c r="D6" s="19"/>
      <c r="E6" s="20"/>
      <c r="F6" s="21"/>
      <c r="G6" s="21"/>
      <c r="H6" s="21"/>
      <c r="I6" s="21"/>
      <c r="J6" s="21"/>
      <c r="K6" s="36" t="s">
        <v>2</v>
      </c>
      <c r="L6" s="37"/>
      <c r="M6" s="37"/>
      <c r="N6" s="37"/>
      <c r="O6" s="37"/>
      <c r="P6" s="21"/>
      <c r="Q6" s="21"/>
      <c r="R6" s="21"/>
      <c r="T6" s="3"/>
    </row>
    <row r="7" spans="2:24" ht="21">
      <c r="B7" s="17"/>
      <c r="C7" s="18"/>
      <c r="D7" s="19"/>
      <c r="E7" s="20"/>
      <c r="F7" s="21"/>
      <c r="G7" s="21"/>
      <c r="H7" s="21"/>
      <c r="I7" s="21"/>
      <c r="J7" s="21"/>
      <c r="K7" s="21"/>
      <c r="L7" s="21"/>
      <c r="M7" s="31" t="s">
        <v>3</v>
      </c>
      <c r="N7" s="30" t="s">
        <v>4</v>
      </c>
      <c r="O7" s="21"/>
      <c r="P7" s="21"/>
      <c r="Q7" s="21"/>
      <c r="R7" s="21"/>
    </row>
    <row r="8" spans="2:24" ht="21">
      <c r="B8" s="17"/>
      <c r="C8" s="18"/>
      <c r="D8" s="19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</row>
    <row r="9" spans="2:24" ht="21">
      <c r="B9" s="17"/>
      <c r="C9" s="18"/>
      <c r="D9" s="19"/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</row>
    <row r="10" spans="2:24" ht="21">
      <c r="B10" s="17"/>
      <c r="C10" s="18"/>
      <c r="D10" s="19"/>
      <c r="E10" s="2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</row>
    <row r="11" spans="2:24" ht="214.9" customHeight="1">
      <c r="B11" s="23" t="s">
        <v>5</v>
      </c>
      <c r="C11" s="24" t="s">
        <v>6</v>
      </c>
      <c r="D11" s="24" t="s">
        <v>7</v>
      </c>
      <c r="E11" s="24" t="s">
        <v>8</v>
      </c>
      <c r="F11" s="24" t="s">
        <v>9</v>
      </c>
      <c r="G11" s="24" t="s">
        <v>10</v>
      </c>
      <c r="H11" s="24" t="s">
        <v>11</v>
      </c>
      <c r="I11" s="24" t="s">
        <v>12</v>
      </c>
      <c r="J11" s="24" t="s">
        <v>13</v>
      </c>
      <c r="K11" s="24" t="s">
        <v>14</v>
      </c>
      <c r="L11" s="24" t="s">
        <v>15</v>
      </c>
      <c r="M11" s="24" t="s">
        <v>16</v>
      </c>
      <c r="N11" s="24" t="s">
        <v>17</v>
      </c>
      <c r="O11" s="24" t="s">
        <v>18</v>
      </c>
      <c r="P11" s="24" t="s">
        <v>19</v>
      </c>
      <c r="Q11" s="24" t="s">
        <v>20</v>
      </c>
      <c r="R11" s="24" t="s">
        <v>21</v>
      </c>
    </row>
    <row r="12" spans="2:24" ht="14.45" customHeight="1">
      <c r="B12" s="52">
        <v>1</v>
      </c>
      <c r="C12" s="41" t="s">
        <v>22</v>
      </c>
      <c r="D12" s="10" t="s">
        <v>23</v>
      </c>
      <c r="E12" s="10" t="s">
        <v>24</v>
      </c>
      <c r="F12" s="10">
        <v>50</v>
      </c>
      <c r="G12" s="10">
        <v>2923.2029000000002</v>
      </c>
      <c r="H12" s="10">
        <f>G12*0.0929</f>
        <v>271.56554941000002</v>
      </c>
      <c r="I12" s="10">
        <v>0.8</v>
      </c>
      <c r="J12" s="10">
        <v>0.8</v>
      </c>
      <c r="K12" s="10">
        <v>125</v>
      </c>
      <c r="L12" s="10">
        <v>36</v>
      </c>
      <c r="M12" s="10">
        <v>4500</v>
      </c>
      <c r="N12" s="10" t="s">
        <v>25</v>
      </c>
      <c r="O12" s="10">
        <v>1</v>
      </c>
      <c r="P12" s="10">
        <f>(F12*H12)/(M12*0.8*0.8)</f>
        <v>4.714679677256945</v>
      </c>
      <c r="Q12" s="10">
        <v>6</v>
      </c>
      <c r="R12" s="10">
        <f>Q12*L12</f>
        <v>216</v>
      </c>
      <c r="T12" s="2"/>
    </row>
    <row r="13" spans="2:24">
      <c r="B13" s="52"/>
      <c r="C13" s="41"/>
      <c r="D13" s="10" t="s">
        <v>26</v>
      </c>
      <c r="E13" s="10" t="s">
        <v>24</v>
      </c>
      <c r="F13" s="10">
        <v>50</v>
      </c>
      <c r="G13" s="10">
        <v>2629.6536000000001</v>
      </c>
      <c r="H13" s="10">
        <f t="shared" ref="H13:H20" si="0">G13*0.0929</f>
        <v>244.29481944</v>
      </c>
      <c r="I13" s="10">
        <v>0.8</v>
      </c>
      <c r="J13" s="10">
        <v>0.8</v>
      </c>
      <c r="K13" s="10">
        <v>125</v>
      </c>
      <c r="L13" s="10">
        <v>36</v>
      </c>
      <c r="M13" s="10">
        <v>4500</v>
      </c>
      <c r="N13" s="10" t="s">
        <v>25</v>
      </c>
      <c r="O13" s="10">
        <v>1</v>
      </c>
      <c r="P13" s="10">
        <f t="shared" ref="P13:P74" si="1">(F13*H13)/(M13*0.8*0.8)</f>
        <v>4.2412295041666663</v>
      </c>
      <c r="Q13" s="10">
        <v>5</v>
      </c>
      <c r="R13" s="10">
        <f t="shared" ref="R13:R74" si="2">Q13*L13</f>
        <v>180</v>
      </c>
    </row>
    <row r="14" spans="2:24">
      <c r="B14" s="52"/>
      <c r="C14" s="41"/>
      <c r="D14" s="10" t="s">
        <v>27</v>
      </c>
      <c r="E14" s="10" t="s">
        <v>28</v>
      </c>
      <c r="F14" s="10">
        <v>150</v>
      </c>
      <c r="G14" s="10">
        <v>219.886</v>
      </c>
      <c r="H14" s="10">
        <f t="shared" si="0"/>
        <v>20.427409399999998</v>
      </c>
      <c r="I14" s="10">
        <v>0.8</v>
      </c>
      <c r="J14" s="10">
        <v>0.8</v>
      </c>
      <c r="K14" s="10">
        <v>100</v>
      </c>
      <c r="L14" s="10">
        <v>25</v>
      </c>
      <c r="M14" s="10">
        <v>2500</v>
      </c>
      <c r="N14" s="10" t="s">
        <v>29</v>
      </c>
      <c r="O14" s="10">
        <v>1</v>
      </c>
      <c r="P14" s="10">
        <f t="shared" si="1"/>
        <v>1.91506963125</v>
      </c>
      <c r="Q14" s="10">
        <v>2</v>
      </c>
      <c r="R14" s="10">
        <f t="shared" si="2"/>
        <v>50</v>
      </c>
    </row>
    <row r="15" spans="2:24">
      <c r="B15" s="52"/>
      <c r="C15" s="41"/>
      <c r="D15" s="10" t="s">
        <v>30</v>
      </c>
      <c r="E15" s="10" t="s">
        <v>28</v>
      </c>
      <c r="F15" s="10">
        <v>150</v>
      </c>
      <c r="G15" s="10">
        <v>61.0777</v>
      </c>
      <c r="H15" s="10">
        <f t="shared" si="0"/>
        <v>5.6741183299999998</v>
      </c>
      <c r="I15" s="10">
        <v>0.8</v>
      </c>
      <c r="J15" s="10">
        <v>0.8</v>
      </c>
      <c r="K15" s="10">
        <v>85</v>
      </c>
      <c r="L15" s="10">
        <v>13</v>
      </c>
      <c r="M15" s="10">
        <v>1100</v>
      </c>
      <c r="N15" s="10" t="s">
        <v>31</v>
      </c>
      <c r="O15" s="10">
        <v>1</v>
      </c>
      <c r="P15" s="10">
        <f t="shared" si="1"/>
        <v>1.2089740759943182</v>
      </c>
      <c r="Q15" s="10">
        <v>2</v>
      </c>
      <c r="R15" s="10">
        <f t="shared" si="2"/>
        <v>26</v>
      </c>
    </row>
    <row r="16" spans="2:24">
      <c r="B16" s="52"/>
      <c r="C16" s="41"/>
      <c r="D16" s="10" t="s">
        <v>32</v>
      </c>
      <c r="E16" s="10" t="s">
        <v>28</v>
      </c>
      <c r="F16" s="10">
        <v>150</v>
      </c>
      <c r="G16" s="10">
        <v>96.921300000000002</v>
      </c>
      <c r="H16" s="10">
        <f t="shared" si="0"/>
        <v>9.0039887699999994</v>
      </c>
      <c r="I16" s="10">
        <v>0.8</v>
      </c>
      <c r="J16" s="10">
        <v>0.8</v>
      </c>
      <c r="K16" s="10">
        <v>85</v>
      </c>
      <c r="L16" s="10">
        <v>10</v>
      </c>
      <c r="M16" s="10">
        <v>600</v>
      </c>
      <c r="N16" s="10" t="s">
        <v>33</v>
      </c>
      <c r="O16" s="10">
        <v>1</v>
      </c>
      <c r="P16" s="10">
        <f t="shared" si="1"/>
        <v>3.5171831132812499</v>
      </c>
      <c r="Q16" s="10">
        <v>4</v>
      </c>
      <c r="R16" s="10">
        <f t="shared" si="2"/>
        <v>40</v>
      </c>
    </row>
    <row r="17" spans="2:18">
      <c r="B17" s="52"/>
      <c r="C17" s="41"/>
      <c r="D17" s="10" t="s">
        <v>34</v>
      </c>
      <c r="E17" s="10" t="s">
        <v>28</v>
      </c>
      <c r="F17" s="10">
        <v>50</v>
      </c>
      <c r="G17" s="10">
        <v>23.528300000000002</v>
      </c>
      <c r="H17" s="10">
        <f t="shared" si="0"/>
        <v>2.1857790700000002</v>
      </c>
      <c r="I17" s="10">
        <v>0.8</v>
      </c>
      <c r="J17" s="10">
        <v>0.8</v>
      </c>
      <c r="K17" s="10">
        <v>60</v>
      </c>
      <c r="L17" s="10">
        <v>11</v>
      </c>
      <c r="M17" s="10">
        <v>180</v>
      </c>
      <c r="N17" s="10" t="s">
        <v>35</v>
      </c>
      <c r="O17" s="10">
        <v>1</v>
      </c>
      <c r="P17" s="10">
        <f t="shared" si="1"/>
        <v>0.9486888324652778</v>
      </c>
      <c r="Q17" s="10">
        <v>1</v>
      </c>
      <c r="R17" s="10">
        <f t="shared" si="2"/>
        <v>11</v>
      </c>
    </row>
    <row r="18" spans="2:18">
      <c r="B18" s="52"/>
      <c r="C18" s="41"/>
      <c r="D18" s="10" t="s">
        <v>36</v>
      </c>
      <c r="E18" s="10" t="s">
        <v>37</v>
      </c>
      <c r="F18" s="10">
        <v>200</v>
      </c>
      <c r="G18" s="10">
        <v>128.97829999999999</v>
      </c>
      <c r="H18" s="10">
        <f t="shared" si="0"/>
        <v>11.982084069999999</v>
      </c>
      <c r="I18" s="10">
        <v>0.8</v>
      </c>
      <c r="J18" s="10">
        <v>0.8</v>
      </c>
      <c r="K18" s="10">
        <v>133</v>
      </c>
      <c r="L18" s="10">
        <v>45</v>
      </c>
      <c r="M18" s="10">
        <v>3985</v>
      </c>
      <c r="N18" s="10" t="s">
        <v>38</v>
      </c>
      <c r="O18" s="10">
        <v>1</v>
      </c>
      <c r="P18" s="10">
        <f t="shared" si="1"/>
        <v>0.93962390762233361</v>
      </c>
      <c r="Q18" s="10">
        <v>1</v>
      </c>
      <c r="R18" s="10">
        <f t="shared" si="2"/>
        <v>45</v>
      </c>
    </row>
    <row r="19" spans="2:18">
      <c r="B19" s="52"/>
      <c r="C19" s="41"/>
      <c r="D19" s="10" t="s">
        <v>39</v>
      </c>
      <c r="E19" s="10" t="s">
        <v>24</v>
      </c>
      <c r="F19" s="10">
        <v>50</v>
      </c>
      <c r="G19" s="10">
        <v>2421.3208</v>
      </c>
      <c r="H19" s="10">
        <f t="shared" si="0"/>
        <v>224.94070231999999</v>
      </c>
      <c r="I19" s="10">
        <v>0.8</v>
      </c>
      <c r="J19" s="10">
        <v>0.8</v>
      </c>
      <c r="K19" s="10">
        <v>125</v>
      </c>
      <c r="L19" s="10">
        <v>36</v>
      </c>
      <c r="M19" s="10">
        <v>4500</v>
      </c>
      <c r="N19" s="10" t="s">
        <v>25</v>
      </c>
      <c r="O19" s="10">
        <v>1</v>
      </c>
      <c r="P19" s="10">
        <f t="shared" si="1"/>
        <v>3.9052205263888884</v>
      </c>
      <c r="Q19" s="10">
        <v>4</v>
      </c>
      <c r="R19" s="10">
        <f t="shared" si="2"/>
        <v>144</v>
      </c>
    </row>
    <row r="20" spans="2:18" ht="15" thickBot="1">
      <c r="B20" s="53"/>
      <c r="C20" s="42"/>
      <c r="D20" s="26" t="s">
        <v>40</v>
      </c>
      <c r="E20" s="26" t="s">
        <v>24</v>
      </c>
      <c r="F20" s="26">
        <v>50</v>
      </c>
      <c r="G20" s="26">
        <v>442.97669999999999</v>
      </c>
      <c r="H20" s="26">
        <f t="shared" si="0"/>
        <v>41.15253543</v>
      </c>
      <c r="I20" s="26">
        <v>0.8</v>
      </c>
      <c r="J20" s="26">
        <v>0.8</v>
      </c>
      <c r="K20" s="26">
        <v>130</v>
      </c>
      <c r="L20" s="26">
        <v>23</v>
      </c>
      <c r="M20" s="26">
        <v>3000</v>
      </c>
      <c r="N20" s="26" t="s">
        <v>41</v>
      </c>
      <c r="O20" s="26">
        <v>1</v>
      </c>
      <c r="P20" s="26">
        <f t="shared" si="1"/>
        <v>1.0716806101562499</v>
      </c>
      <c r="Q20" s="26">
        <v>1</v>
      </c>
      <c r="R20" s="26">
        <f t="shared" si="2"/>
        <v>23</v>
      </c>
    </row>
    <row r="21" spans="2:18">
      <c r="B21" s="25"/>
      <c r="C21" s="22"/>
      <c r="D21" s="2"/>
      <c r="E21" s="1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2:18" ht="15" thickBot="1">
      <c r="B22" s="27"/>
      <c r="C22" s="28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 spans="2:18">
      <c r="B23" s="50">
        <v>2</v>
      </c>
      <c r="C23" s="43" t="s">
        <v>42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6">
        <f t="shared" si="2"/>
        <v>0</v>
      </c>
    </row>
    <row r="24" spans="2:18">
      <c r="B24" s="50"/>
      <c r="C24" s="43"/>
      <c r="D24" s="4" t="s">
        <v>43</v>
      </c>
      <c r="E24" s="4" t="s">
        <v>44</v>
      </c>
      <c r="F24" s="4">
        <v>400</v>
      </c>
      <c r="G24" s="4">
        <v>1504.6206</v>
      </c>
      <c r="H24" s="4">
        <f>G24*0.0929</f>
        <v>139.77925374</v>
      </c>
      <c r="I24" s="4">
        <v>0.8</v>
      </c>
      <c r="J24" s="4">
        <v>0.8</v>
      </c>
      <c r="K24" s="4">
        <v>120</v>
      </c>
      <c r="L24" s="4">
        <v>26</v>
      </c>
      <c r="M24" s="4">
        <v>4400</v>
      </c>
      <c r="N24" s="4" t="s">
        <v>45</v>
      </c>
      <c r="O24" s="4">
        <v>1</v>
      </c>
      <c r="P24" s="4">
        <f t="shared" si="1"/>
        <v>19.855007633522728</v>
      </c>
      <c r="Q24" s="4">
        <v>19</v>
      </c>
      <c r="R24" s="6">
        <f t="shared" si="2"/>
        <v>494</v>
      </c>
    </row>
    <row r="25" spans="2:18">
      <c r="B25" s="50"/>
      <c r="C25" s="43"/>
      <c r="D25" s="4" t="s">
        <v>46</v>
      </c>
      <c r="E25" s="4" t="s">
        <v>28</v>
      </c>
      <c r="F25" s="4">
        <v>150</v>
      </c>
      <c r="G25" s="4">
        <v>59.332599999999999</v>
      </c>
      <c r="H25" s="4">
        <f t="shared" ref="H25:H88" si="3">G25*0.0929</f>
        <v>5.5119985399999996</v>
      </c>
      <c r="I25" s="4">
        <v>0.8</v>
      </c>
      <c r="J25" s="4">
        <v>0.8</v>
      </c>
      <c r="K25" s="4">
        <v>85</v>
      </c>
      <c r="L25" s="4">
        <v>10</v>
      </c>
      <c r="M25" s="4">
        <v>1400</v>
      </c>
      <c r="N25" s="4" t="s">
        <v>47</v>
      </c>
      <c r="O25" s="4">
        <v>1</v>
      </c>
      <c r="P25" s="4">
        <f t="shared" si="1"/>
        <v>0.92276761272321417</v>
      </c>
      <c r="Q25" s="4">
        <v>1</v>
      </c>
      <c r="R25" s="6">
        <f t="shared" si="2"/>
        <v>10</v>
      </c>
    </row>
    <row r="26" spans="2:18">
      <c r="B26" s="50"/>
      <c r="C26" s="43"/>
      <c r="D26" s="4" t="s">
        <v>48</v>
      </c>
      <c r="E26" s="4" t="s">
        <v>37</v>
      </c>
      <c r="F26" s="4">
        <v>200</v>
      </c>
      <c r="G26" s="4">
        <v>82.286900000000003</v>
      </c>
      <c r="H26" s="4">
        <f t="shared" si="3"/>
        <v>7.6444530100000003</v>
      </c>
      <c r="I26" s="4">
        <v>0.8</v>
      </c>
      <c r="J26" s="4">
        <v>0.8</v>
      </c>
      <c r="K26" s="4">
        <v>85</v>
      </c>
      <c r="L26" s="4">
        <v>13</v>
      </c>
      <c r="M26" s="4">
        <v>1100</v>
      </c>
      <c r="N26" s="4" t="s">
        <v>31</v>
      </c>
      <c r="O26" s="4">
        <v>1</v>
      </c>
      <c r="P26" s="4">
        <f t="shared" si="1"/>
        <v>2.1717196051136365</v>
      </c>
      <c r="Q26" s="4">
        <v>3</v>
      </c>
      <c r="R26" s="6">
        <f t="shared" si="2"/>
        <v>39</v>
      </c>
    </row>
    <row r="27" spans="2:18">
      <c r="B27" s="50"/>
      <c r="C27" s="43"/>
      <c r="D27" s="4" t="s">
        <v>49</v>
      </c>
      <c r="E27" s="4" t="s">
        <v>50</v>
      </c>
      <c r="F27" s="4">
        <v>150</v>
      </c>
      <c r="G27" s="4">
        <v>417.84410000000003</v>
      </c>
      <c r="H27" s="4">
        <f t="shared" si="3"/>
        <v>38.81771689</v>
      </c>
      <c r="I27" s="4">
        <v>0.8</v>
      </c>
      <c r="J27" s="4">
        <v>0.8</v>
      </c>
      <c r="K27" s="4">
        <v>120</v>
      </c>
      <c r="L27" s="4">
        <v>26</v>
      </c>
      <c r="M27" s="4">
        <v>4400</v>
      </c>
      <c r="N27" s="4" t="s">
        <v>45</v>
      </c>
      <c r="O27" s="4">
        <v>1</v>
      </c>
      <c r="P27" s="4">
        <f t="shared" si="1"/>
        <v>2.0677050900213065</v>
      </c>
      <c r="Q27" s="4">
        <v>3</v>
      </c>
      <c r="R27" s="6">
        <f t="shared" si="2"/>
        <v>78</v>
      </c>
    </row>
    <row r="28" spans="2:18">
      <c r="B28" s="50"/>
      <c r="C28" s="43"/>
      <c r="D28" s="4" t="s">
        <v>51</v>
      </c>
      <c r="E28" s="4" t="s">
        <v>50</v>
      </c>
      <c r="F28" s="4">
        <v>150</v>
      </c>
      <c r="G28" s="4">
        <v>245.58099999999999</v>
      </c>
      <c r="H28" s="4">
        <f t="shared" si="3"/>
        <v>22.814474899999997</v>
      </c>
      <c r="I28" s="4">
        <v>0.8</v>
      </c>
      <c r="J28" s="4">
        <v>0.8</v>
      </c>
      <c r="K28" s="4">
        <v>120</v>
      </c>
      <c r="L28" s="4">
        <v>26</v>
      </c>
      <c r="M28" s="4">
        <v>4400</v>
      </c>
      <c r="N28" s="4" t="s">
        <v>45</v>
      </c>
      <c r="O28" s="4">
        <v>1</v>
      </c>
      <c r="P28" s="4">
        <f t="shared" si="1"/>
        <v>1.2152596715198862</v>
      </c>
      <c r="Q28" s="4">
        <v>2</v>
      </c>
      <c r="R28" s="6">
        <f t="shared" si="2"/>
        <v>52</v>
      </c>
    </row>
    <row r="29" spans="2:18">
      <c r="B29" s="50"/>
      <c r="C29" s="43"/>
      <c r="D29" s="4" t="s">
        <v>52</v>
      </c>
      <c r="E29" s="4" t="s">
        <v>28</v>
      </c>
      <c r="F29" s="4">
        <v>150</v>
      </c>
      <c r="G29" s="4">
        <v>216.096</v>
      </c>
      <c r="H29" s="4">
        <f t="shared" si="3"/>
        <v>20.0753184</v>
      </c>
      <c r="I29" s="4">
        <v>0.8</v>
      </c>
      <c r="J29" s="4">
        <v>0.8</v>
      </c>
      <c r="K29" s="4">
        <v>100</v>
      </c>
      <c r="L29" s="4">
        <v>25</v>
      </c>
      <c r="M29" s="4">
        <v>2500</v>
      </c>
      <c r="N29" s="4" t="s">
        <v>29</v>
      </c>
      <c r="O29" s="4">
        <v>1</v>
      </c>
      <c r="P29" s="4">
        <f t="shared" si="1"/>
        <v>1.8820611</v>
      </c>
      <c r="Q29" s="4">
        <v>2</v>
      </c>
      <c r="R29" s="6">
        <f t="shared" si="2"/>
        <v>50</v>
      </c>
    </row>
    <row r="30" spans="2:18">
      <c r="B30" s="50"/>
      <c r="C30" s="43"/>
      <c r="D30" s="4" t="s">
        <v>34</v>
      </c>
      <c r="E30" s="4" t="s">
        <v>28</v>
      </c>
      <c r="F30" s="4">
        <v>50</v>
      </c>
      <c r="G30" s="4">
        <v>23.411300000000001</v>
      </c>
      <c r="H30" s="4">
        <f t="shared" si="3"/>
        <v>2.1749097700000002</v>
      </c>
      <c r="I30" s="4">
        <v>0.8</v>
      </c>
      <c r="J30" s="4">
        <v>0.8</v>
      </c>
      <c r="K30" s="4">
        <v>60</v>
      </c>
      <c r="L30" s="4">
        <v>11</v>
      </c>
      <c r="M30" s="4">
        <v>180</v>
      </c>
      <c r="N30" s="4" t="s">
        <v>35</v>
      </c>
      <c r="O30" s="4">
        <v>1</v>
      </c>
      <c r="P30" s="4">
        <f t="shared" si="1"/>
        <v>0.94397125434027784</v>
      </c>
      <c r="Q30" s="4">
        <v>1</v>
      </c>
      <c r="R30" s="6">
        <f t="shared" si="2"/>
        <v>11</v>
      </c>
    </row>
    <row r="31" spans="2:18">
      <c r="B31" s="50"/>
      <c r="C31" s="43"/>
      <c r="D31" s="4" t="s">
        <v>53</v>
      </c>
      <c r="E31" s="4" t="s">
        <v>50</v>
      </c>
      <c r="F31" s="4">
        <v>200</v>
      </c>
      <c r="G31" s="4">
        <v>1503.9721999999999</v>
      </c>
      <c r="H31" s="4">
        <f t="shared" si="3"/>
        <v>139.71901738</v>
      </c>
      <c r="I31" s="4">
        <v>0.8</v>
      </c>
      <c r="J31" s="4">
        <v>0.8</v>
      </c>
      <c r="K31" s="4">
        <v>120</v>
      </c>
      <c r="L31" s="4">
        <v>26</v>
      </c>
      <c r="M31" s="4">
        <v>4400</v>
      </c>
      <c r="N31" s="4" t="s">
        <v>45</v>
      </c>
      <c r="O31" s="4">
        <v>1</v>
      </c>
      <c r="P31" s="4">
        <f t="shared" si="1"/>
        <v>9.9232256661931828</v>
      </c>
      <c r="Q31" s="4">
        <v>10</v>
      </c>
      <c r="R31" s="6">
        <f t="shared" si="2"/>
        <v>260</v>
      </c>
    </row>
    <row r="32" spans="2:18">
      <c r="B32" s="50"/>
      <c r="C32" s="43"/>
      <c r="D32" s="4" t="s">
        <v>54</v>
      </c>
      <c r="E32" s="4" t="s">
        <v>28</v>
      </c>
      <c r="F32" s="4">
        <v>95</v>
      </c>
      <c r="G32" s="4">
        <v>12.833399999999999</v>
      </c>
      <c r="H32" s="4">
        <f t="shared" si="3"/>
        <v>1.19222286</v>
      </c>
      <c r="I32" s="4">
        <v>0.8</v>
      </c>
      <c r="J32" s="4">
        <v>0.8</v>
      </c>
      <c r="K32" s="4">
        <v>60</v>
      </c>
      <c r="L32" s="4">
        <v>11</v>
      </c>
      <c r="M32" s="4">
        <v>180</v>
      </c>
      <c r="N32" s="4" t="s">
        <v>35</v>
      </c>
      <c r="O32" s="4">
        <v>1</v>
      </c>
      <c r="P32" s="4">
        <f t="shared" si="1"/>
        <v>0.9831698932291667</v>
      </c>
      <c r="Q32" s="4">
        <v>1</v>
      </c>
      <c r="R32" s="6">
        <f t="shared" si="2"/>
        <v>11</v>
      </c>
    </row>
    <row r="33" spans="2:18">
      <c r="B33" s="50"/>
      <c r="C33" s="43"/>
      <c r="D33" s="4" t="s">
        <v>55</v>
      </c>
      <c r="E33" s="4" t="s">
        <v>28</v>
      </c>
      <c r="F33" s="4">
        <v>95</v>
      </c>
      <c r="G33" s="4">
        <v>12.833399999999999</v>
      </c>
      <c r="H33" s="4">
        <f t="shared" si="3"/>
        <v>1.19222286</v>
      </c>
      <c r="I33" s="4">
        <v>0.8</v>
      </c>
      <c r="J33" s="4">
        <v>0.8</v>
      </c>
      <c r="K33" s="4">
        <v>60</v>
      </c>
      <c r="L33" s="4">
        <v>11</v>
      </c>
      <c r="M33" s="4">
        <v>180</v>
      </c>
      <c r="N33" s="4" t="s">
        <v>35</v>
      </c>
      <c r="O33" s="4">
        <v>1</v>
      </c>
      <c r="P33" s="4">
        <f t="shared" si="1"/>
        <v>0.9831698932291667</v>
      </c>
      <c r="Q33" s="4">
        <v>1</v>
      </c>
      <c r="R33" s="6">
        <f t="shared" si="2"/>
        <v>11</v>
      </c>
    </row>
    <row r="34" spans="2:18">
      <c r="B34" s="50"/>
      <c r="C34" s="43"/>
      <c r="D34" s="4" t="s">
        <v>32</v>
      </c>
      <c r="E34" s="4" t="s">
        <v>28</v>
      </c>
      <c r="F34" s="4">
        <v>150</v>
      </c>
      <c r="G34" s="4">
        <v>380.45740000000001</v>
      </c>
      <c r="H34" s="4">
        <f t="shared" si="3"/>
        <v>35.344492459999998</v>
      </c>
      <c r="I34" s="4">
        <v>0.8</v>
      </c>
      <c r="J34" s="4">
        <v>0.8</v>
      </c>
      <c r="K34" s="4">
        <v>120</v>
      </c>
      <c r="L34" s="4">
        <v>26</v>
      </c>
      <c r="M34" s="4">
        <v>4400</v>
      </c>
      <c r="N34" s="4" t="s">
        <v>45</v>
      </c>
      <c r="O34" s="4">
        <v>1</v>
      </c>
      <c r="P34" s="4">
        <f t="shared" si="1"/>
        <v>1.8826966864346588</v>
      </c>
      <c r="Q34" s="4">
        <v>2</v>
      </c>
      <c r="R34" s="6">
        <f t="shared" si="2"/>
        <v>52</v>
      </c>
    </row>
    <row r="35" spans="2:18">
      <c r="B35" s="50"/>
      <c r="C35" s="43"/>
      <c r="D35" s="4" t="s">
        <v>56</v>
      </c>
      <c r="E35" s="4" t="s">
        <v>50</v>
      </c>
      <c r="F35" s="4">
        <v>300</v>
      </c>
      <c r="G35" s="4">
        <v>1668.8144</v>
      </c>
      <c r="H35" s="4">
        <f t="shared" si="3"/>
        <v>155.03285775999998</v>
      </c>
      <c r="I35" s="4">
        <v>0.8</v>
      </c>
      <c r="J35" s="4">
        <v>0.8</v>
      </c>
      <c r="K35" s="4">
        <v>120</v>
      </c>
      <c r="L35" s="4">
        <v>26</v>
      </c>
      <c r="M35" s="4">
        <v>4400</v>
      </c>
      <c r="N35" s="4" t="s">
        <v>45</v>
      </c>
      <c r="O35" s="4">
        <v>1</v>
      </c>
      <c r="P35" s="4">
        <f t="shared" si="1"/>
        <v>16.516284562500001</v>
      </c>
      <c r="Q35" s="4">
        <v>17</v>
      </c>
      <c r="R35" s="6">
        <f t="shared" si="2"/>
        <v>442</v>
      </c>
    </row>
    <row r="36" spans="2:18">
      <c r="B36" s="50"/>
      <c r="C36" s="43"/>
      <c r="D36" s="4" t="s">
        <v>57</v>
      </c>
      <c r="E36" s="4" t="s">
        <v>28</v>
      </c>
      <c r="F36" s="4">
        <v>150</v>
      </c>
      <c r="G36" s="4">
        <v>124.5</v>
      </c>
      <c r="H36" s="4">
        <f t="shared" si="3"/>
        <v>11.566049999999999</v>
      </c>
      <c r="I36" s="4">
        <v>0.8</v>
      </c>
      <c r="J36" s="4">
        <v>0.8</v>
      </c>
      <c r="K36" s="4">
        <v>100</v>
      </c>
      <c r="L36" s="4">
        <v>25</v>
      </c>
      <c r="M36" s="4">
        <v>2500</v>
      </c>
      <c r="N36" s="4" t="s">
        <v>29</v>
      </c>
      <c r="O36" s="4">
        <v>1</v>
      </c>
      <c r="P36" s="4">
        <f t="shared" si="1"/>
        <v>1.0843171874999999</v>
      </c>
      <c r="Q36" s="4">
        <v>2</v>
      </c>
      <c r="R36" s="6">
        <f t="shared" si="2"/>
        <v>50</v>
      </c>
    </row>
    <row r="37" spans="2:18">
      <c r="B37" s="50"/>
      <c r="C37" s="43"/>
      <c r="D37" s="4" t="s">
        <v>58</v>
      </c>
      <c r="E37" s="4" t="s">
        <v>50</v>
      </c>
      <c r="F37" s="4">
        <v>150</v>
      </c>
      <c r="G37" s="4">
        <v>24.073699999999999</v>
      </c>
      <c r="H37" s="4">
        <f t="shared" si="3"/>
        <v>2.2364467299999999</v>
      </c>
      <c r="I37" s="4">
        <v>0.8</v>
      </c>
      <c r="J37" s="4">
        <v>0.8</v>
      </c>
      <c r="K37" s="4">
        <v>85</v>
      </c>
      <c r="L37" s="4">
        <v>10</v>
      </c>
      <c r="M37" s="4">
        <v>600</v>
      </c>
      <c r="N37" s="4" t="s">
        <v>47</v>
      </c>
      <c r="O37" s="4">
        <v>1</v>
      </c>
      <c r="P37" s="4">
        <f t="shared" si="1"/>
        <v>0.87361200390625005</v>
      </c>
      <c r="Q37" s="4">
        <v>1</v>
      </c>
      <c r="R37" s="6">
        <f t="shared" si="2"/>
        <v>10</v>
      </c>
    </row>
    <row r="38" spans="2:18">
      <c r="B38" s="50"/>
      <c r="C38" s="43"/>
      <c r="D38" s="4" t="s">
        <v>59</v>
      </c>
      <c r="E38" s="4" t="s">
        <v>28</v>
      </c>
      <c r="F38" s="4">
        <v>150</v>
      </c>
      <c r="G38" s="4">
        <v>79.908699999999996</v>
      </c>
      <c r="H38" s="4">
        <f t="shared" si="3"/>
        <v>7.4235182299999991</v>
      </c>
      <c r="I38" s="4">
        <v>0.8</v>
      </c>
      <c r="J38" s="4">
        <v>0.8</v>
      </c>
      <c r="K38" s="4">
        <v>85</v>
      </c>
      <c r="L38" s="4">
        <v>13</v>
      </c>
      <c r="M38" s="4">
        <v>1100</v>
      </c>
      <c r="N38" s="4" t="s">
        <v>31</v>
      </c>
      <c r="O38" s="4">
        <v>1</v>
      </c>
      <c r="P38" s="4">
        <f t="shared" si="1"/>
        <v>1.5817155319602272</v>
      </c>
      <c r="Q38" s="4">
        <v>2</v>
      </c>
      <c r="R38" s="6">
        <f t="shared" si="2"/>
        <v>26</v>
      </c>
    </row>
    <row r="39" spans="2:18" ht="15" thickBot="1">
      <c r="B39" s="51"/>
      <c r="C39" s="44"/>
      <c r="D39" s="5"/>
      <c r="E39" s="5"/>
      <c r="F39" s="5"/>
      <c r="G39" s="5"/>
      <c r="H39" s="5">
        <f>SUM(H24:H38)</f>
        <v>590.52495353000006</v>
      </c>
      <c r="I39" s="5"/>
      <c r="J39" s="5"/>
      <c r="K39" s="5"/>
      <c r="L39" s="5"/>
      <c r="M39" s="5"/>
      <c r="N39" s="5"/>
      <c r="O39" s="5"/>
      <c r="P39" s="5"/>
      <c r="Q39" s="5"/>
      <c r="R39" s="5">
        <f t="shared" si="2"/>
        <v>0</v>
      </c>
    </row>
    <row r="40" spans="2:18">
      <c r="B40" s="49">
        <v>3</v>
      </c>
      <c r="C40" s="45" t="s">
        <v>60</v>
      </c>
      <c r="D40" s="4" t="s">
        <v>61</v>
      </c>
      <c r="E40" s="4" t="s">
        <v>44</v>
      </c>
      <c r="F40" s="4">
        <v>400</v>
      </c>
      <c r="G40" s="4">
        <v>1504.8267000000001</v>
      </c>
      <c r="H40" s="4">
        <f t="shared" si="3"/>
        <v>139.79840043000002</v>
      </c>
      <c r="I40" s="4">
        <v>0.8</v>
      </c>
      <c r="J40" s="4">
        <v>0.8</v>
      </c>
      <c r="K40" s="4">
        <v>120</v>
      </c>
      <c r="L40" s="4">
        <v>26</v>
      </c>
      <c r="M40" s="4">
        <v>4400</v>
      </c>
      <c r="N40" s="4" t="s">
        <v>45</v>
      </c>
      <c r="O40" s="4">
        <v>1</v>
      </c>
      <c r="P40" s="4">
        <f t="shared" si="1"/>
        <v>19.857727333806821</v>
      </c>
      <c r="Q40" s="4">
        <v>21</v>
      </c>
      <c r="R40" s="6">
        <f t="shared" si="2"/>
        <v>546</v>
      </c>
    </row>
    <row r="41" spans="2:18">
      <c r="B41" s="50"/>
      <c r="C41" s="46"/>
      <c r="D41" s="4" t="s">
        <v>62</v>
      </c>
      <c r="E41" s="4" t="s">
        <v>50</v>
      </c>
      <c r="F41" s="4">
        <v>200</v>
      </c>
      <c r="G41" s="4">
        <v>16.670999999999999</v>
      </c>
      <c r="H41" s="4">
        <f t="shared" si="3"/>
        <v>1.5487358999999998</v>
      </c>
      <c r="I41" s="4">
        <v>0.8</v>
      </c>
      <c r="J41" s="4">
        <v>0.8</v>
      </c>
      <c r="K41" s="4">
        <v>85</v>
      </c>
      <c r="L41" s="4">
        <v>10</v>
      </c>
      <c r="M41" s="4">
        <v>600</v>
      </c>
      <c r="N41" s="4" t="s">
        <v>47</v>
      </c>
      <c r="O41" s="4">
        <v>1</v>
      </c>
      <c r="P41" s="4">
        <f t="shared" si="1"/>
        <v>0.80663328124999989</v>
      </c>
      <c r="Q41" s="4">
        <v>1</v>
      </c>
      <c r="R41" s="6">
        <f t="shared" si="2"/>
        <v>10</v>
      </c>
    </row>
    <row r="42" spans="2:18">
      <c r="B42" s="50"/>
      <c r="C42" s="46"/>
      <c r="D42" s="4" t="s">
        <v>63</v>
      </c>
      <c r="E42" s="4" t="s">
        <v>28</v>
      </c>
      <c r="F42" s="4">
        <v>200</v>
      </c>
      <c r="G42" s="4">
        <v>30.916899999999998</v>
      </c>
      <c r="H42" s="4">
        <f t="shared" si="3"/>
        <v>2.8721800099999997</v>
      </c>
      <c r="I42" s="4">
        <v>0.8</v>
      </c>
      <c r="J42" s="4">
        <v>0.8</v>
      </c>
      <c r="K42" s="4">
        <v>85</v>
      </c>
      <c r="L42" s="4">
        <v>10</v>
      </c>
      <c r="M42" s="4">
        <v>600</v>
      </c>
      <c r="N42" s="4" t="s">
        <v>47</v>
      </c>
      <c r="O42" s="4">
        <v>1</v>
      </c>
      <c r="P42" s="4">
        <f t="shared" si="1"/>
        <v>1.4959270885416664</v>
      </c>
      <c r="Q42" s="4">
        <v>2</v>
      </c>
      <c r="R42" s="6">
        <f t="shared" si="2"/>
        <v>20</v>
      </c>
    </row>
    <row r="43" spans="2:18">
      <c r="B43" s="50"/>
      <c r="C43" s="46"/>
      <c r="D43" s="4" t="s">
        <v>64</v>
      </c>
      <c r="E43" s="4" t="s">
        <v>28</v>
      </c>
      <c r="F43" s="4">
        <v>100</v>
      </c>
      <c r="G43" s="4">
        <v>40.0032</v>
      </c>
      <c r="H43" s="4">
        <f t="shared" si="3"/>
        <v>3.71629728</v>
      </c>
      <c r="I43" s="4">
        <v>0.8</v>
      </c>
      <c r="J43" s="4">
        <v>0.8</v>
      </c>
      <c r="K43" s="4">
        <v>85</v>
      </c>
      <c r="L43" s="4">
        <v>10</v>
      </c>
      <c r="M43" s="4">
        <v>600</v>
      </c>
      <c r="N43" s="4" t="s">
        <v>47</v>
      </c>
      <c r="O43" s="4">
        <v>1</v>
      </c>
      <c r="P43" s="4">
        <f t="shared" si="1"/>
        <v>0.96778575</v>
      </c>
      <c r="Q43" s="4">
        <v>1</v>
      </c>
      <c r="R43" s="6">
        <f t="shared" si="2"/>
        <v>10</v>
      </c>
    </row>
    <row r="44" spans="2:18">
      <c r="B44" s="50"/>
      <c r="C44" s="46"/>
      <c r="D44" s="4" t="s">
        <v>59</v>
      </c>
      <c r="E44" s="4" t="s">
        <v>28</v>
      </c>
      <c r="F44" s="4">
        <v>150</v>
      </c>
      <c r="G44" s="4">
        <v>79.908699999999996</v>
      </c>
      <c r="H44" s="4">
        <f t="shared" ref="H44" si="4">G44*0.0929</f>
        <v>7.4235182299999991</v>
      </c>
      <c r="I44" s="4">
        <v>0.8</v>
      </c>
      <c r="J44" s="4">
        <v>0.8</v>
      </c>
      <c r="K44" s="4">
        <v>85</v>
      </c>
      <c r="L44" s="4">
        <v>13</v>
      </c>
      <c r="M44" s="4">
        <v>1100</v>
      </c>
      <c r="N44" s="4" t="s">
        <v>31</v>
      </c>
      <c r="O44" s="4">
        <v>1</v>
      </c>
      <c r="P44" s="4">
        <f t="shared" si="1"/>
        <v>1.5817155319602272</v>
      </c>
      <c r="Q44" s="4">
        <v>2</v>
      </c>
      <c r="R44" s="6">
        <f t="shared" si="2"/>
        <v>26</v>
      </c>
    </row>
    <row r="45" spans="2:18">
      <c r="B45" s="50"/>
      <c r="C45" s="46"/>
      <c r="D45" s="4" t="s">
        <v>65</v>
      </c>
      <c r="E45" s="4" t="s">
        <v>28</v>
      </c>
      <c r="F45" s="4">
        <v>150</v>
      </c>
      <c r="G45" s="4">
        <v>214.21279999999999</v>
      </c>
      <c r="H45" s="4">
        <f t="shared" ref="H45:H46" si="5">G45*0.0929</f>
        <v>19.900369119999997</v>
      </c>
      <c r="I45" s="4">
        <v>0.8</v>
      </c>
      <c r="J45" s="4">
        <v>0.8</v>
      </c>
      <c r="K45" s="4">
        <v>100</v>
      </c>
      <c r="L45" s="4">
        <v>25</v>
      </c>
      <c r="M45" s="4">
        <v>2500</v>
      </c>
      <c r="N45" s="4" t="s">
        <v>29</v>
      </c>
      <c r="O45" s="4">
        <v>1</v>
      </c>
      <c r="P45" s="4">
        <f t="shared" si="1"/>
        <v>1.8656596049999996</v>
      </c>
      <c r="Q45" s="4">
        <v>2</v>
      </c>
      <c r="R45" s="6">
        <f t="shared" si="2"/>
        <v>50</v>
      </c>
    </row>
    <row r="46" spans="2:18">
      <c r="B46" s="50"/>
      <c r="C46" s="46"/>
      <c r="D46" s="4" t="s">
        <v>34</v>
      </c>
      <c r="E46" s="4" t="s">
        <v>28</v>
      </c>
      <c r="F46" s="4">
        <v>50</v>
      </c>
      <c r="G46" s="4">
        <v>23.411300000000001</v>
      </c>
      <c r="H46" s="4">
        <f t="shared" si="5"/>
        <v>2.1749097700000002</v>
      </c>
      <c r="I46" s="4">
        <v>0.8</v>
      </c>
      <c r="J46" s="4">
        <v>0.8</v>
      </c>
      <c r="K46" s="4">
        <v>60</v>
      </c>
      <c r="L46" s="4">
        <v>11</v>
      </c>
      <c r="M46" s="4">
        <v>180</v>
      </c>
      <c r="N46" s="4" t="s">
        <v>35</v>
      </c>
      <c r="O46" s="4">
        <v>1</v>
      </c>
      <c r="P46" s="4">
        <f t="shared" si="1"/>
        <v>0.94397125434027784</v>
      </c>
      <c r="Q46" s="4">
        <v>1</v>
      </c>
      <c r="R46" s="6">
        <f t="shared" si="2"/>
        <v>11</v>
      </c>
    </row>
    <row r="47" spans="2:18">
      <c r="B47" s="50"/>
      <c r="C47" s="46"/>
      <c r="D47" s="4" t="s">
        <v>66</v>
      </c>
      <c r="E47" s="4" t="s">
        <v>44</v>
      </c>
      <c r="F47" s="4">
        <v>400</v>
      </c>
      <c r="G47" s="4">
        <v>1866.5884000000001</v>
      </c>
      <c r="H47" s="4">
        <f t="shared" si="3"/>
        <v>173.40606235999999</v>
      </c>
      <c r="I47" s="4">
        <v>0.8</v>
      </c>
      <c r="J47" s="4">
        <v>0.8</v>
      </c>
      <c r="K47" s="4">
        <v>120</v>
      </c>
      <c r="L47" s="4">
        <v>26</v>
      </c>
      <c r="M47" s="4">
        <v>4400</v>
      </c>
      <c r="N47" s="4" t="s">
        <v>45</v>
      </c>
      <c r="O47" s="4">
        <v>1</v>
      </c>
      <c r="P47" s="4">
        <f t="shared" si="1"/>
        <v>24.631542948863636</v>
      </c>
      <c r="Q47" s="4">
        <v>26</v>
      </c>
      <c r="R47" s="6">
        <f t="shared" si="2"/>
        <v>676</v>
      </c>
    </row>
    <row r="48" spans="2:18">
      <c r="B48" s="50"/>
      <c r="C48" s="46"/>
      <c r="D48" s="4" t="s">
        <v>67</v>
      </c>
      <c r="E48" s="4" t="s">
        <v>28</v>
      </c>
      <c r="F48" s="4">
        <v>150</v>
      </c>
      <c r="G48" s="4">
        <v>14.916600000000001</v>
      </c>
      <c r="H48" s="4">
        <f t="shared" si="3"/>
        <v>1.3857521399999999</v>
      </c>
      <c r="I48" s="4">
        <v>0.8</v>
      </c>
      <c r="J48" s="4">
        <v>0.8</v>
      </c>
      <c r="K48" s="4">
        <v>60</v>
      </c>
      <c r="L48" s="4">
        <v>11</v>
      </c>
      <c r="M48" s="4">
        <v>180</v>
      </c>
      <c r="N48" s="4" t="s">
        <v>35</v>
      </c>
      <c r="O48" s="4">
        <v>1</v>
      </c>
      <c r="P48" s="4">
        <f t="shared" si="1"/>
        <v>1.8043647656249999</v>
      </c>
      <c r="Q48" s="4">
        <v>2</v>
      </c>
      <c r="R48" s="6">
        <f t="shared" si="2"/>
        <v>22</v>
      </c>
    </row>
    <row r="49" spans="2:18">
      <c r="B49" s="50"/>
      <c r="C49" s="46"/>
      <c r="D49" s="4" t="s">
        <v>68</v>
      </c>
      <c r="E49" s="4" t="s">
        <v>28</v>
      </c>
      <c r="F49" s="4">
        <v>150</v>
      </c>
      <c r="G49" s="4">
        <v>130.83840000000001</v>
      </c>
      <c r="H49" s="4">
        <f t="shared" si="3"/>
        <v>12.15488736</v>
      </c>
      <c r="I49" s="4">
        <v>0.8</v>
      </c>
      <c r="J49" s="4">
        <v>0.8</v>
      </c>
      <c r="K49" s="4">
        <v>100</v>
      </c>
      <c r="L49" s="4">
        <v>25</v>
      </c>
      <c r="M49" s="4">
        <v>2500</v>
      </c>
      <c r="N49" s="4" t="s">
        <v>29</v>
      </c>
      <c r="O49" s="4">
        <v>1</v>
      </c>
      <c r="P49" s="4">
        <f t="shared" si="1"/>
        <v>1.1395206899999999</v>
      </c>
      <c r="Q49" s="4">
        <v>2</v>
      </c>
      <c r="R49" s="6">
        <f t="shared" si="2"/>
        <v>50</v>
      </c>
    </row>
    <row r="50" spans="2:18">
      <c r="B50" s="50"/>
      <c r="C50" s="46"/>
      <c r="D50" s="4" t="s">
        <v>69</v>
      </c>
      <c r="E50" s="4" t="s">
        <v>28</v>
      </c>
      <c r="F50" s="4">
        <v>150</v>
      </c>
      <c r="G50" s="4">
        <v>49.076900000000002</v>
      </c>
      <c r="H50" s="4">
        <f t="shared" si="3"/>
        <v>4.5592440099999996</v>
      </c>
      <c r="I50" s="4">
        <v>0.8</v>
      </c>
      <c r="J50" s="4">
        <v>0.8</v>
      </c>
      <c r="K50" s="4">
        <v>85</v>
      </c>
      <c r="L50" s="4">
        <v>10</v>
      </c>
      <c r="M50" s="4">
        <v>600</v>
      </c>
      <c r="N50" s="4" t="s">
        <v>47</v>
      </c>
      <c r="O50" s="4">
        <v>1</v>
      </c>
      <c r="P50" s="4">
        <f t="shared" si="1"/>
        <v>1.78095469140625</v>
      </c>
      <c r="Q50" s="4">
        <v>2</v>
      </c>
      <c r="R50" s="6">
        <f t="shared" si="2"/>
        <v>20</v>
      </c>
    </row>
    <row r="51" spans="2:18">
      <c r="B51" s="50"/>
      <c r="C51" s="46"/>
      <c r="D51" s="4" t="s">
        <v>70</v>
      </c>
      <c r="E51" s="4" t="s">
        <v>28</v>
      </c>
      <c r="F51" s="4">
        <v>150</v>
      </c>
      <c r="G51" s="4">
        <v>14.0822</v>
      </c>
      <c r="H51" s="4">
        <f t="shared" si="3"/>
        <v>1.3082363799999999</v>
      </c>
      <c r="I51" s="4">
        <v>0.8</v>
      </c>
      <c r="J51" s="4">
        <v>0.8</v>
      </c>
      <c r="K51" s="4">
        <v>85</v>
      </c>
      <c r="L51" s="4">
        <v>10</v>
      </c>
      <c r="M51" s="4">
        <v>600</v>
      </c>
      <c r="N51" s="4" t="s">
        <v>47</v>
      </c>
      <c r="O51" s="4">
        <v>1</v>
      </c>
      <c r="P51" s="4">
        <f t="shared" si="1"/>
        <v>0.51102983593749995</v>
      </c>
      <c r="Q51" s="4">
        <v>1</v>
      </c>
      <c r="R51" s="6">
        <f t="shared" si="2"/>
        <v>10</v>
      </c>
    </row>
    <row r="52" spans="2:18">
      <c r="B52" s="50"/>
      <c r="C52" s="46"/>
      <c r="D52" s="4" t="s">
        <v>71</v>
      </c>
      <c r="E52" s="4" t="s">
        <v>28</v>
      </c>
      <c r="F52" s="4">
        <v>150</v>
      </c>
      <c r="G52" s="4">
        <v>100.3164</v>
      </c>
      <c r="H52" s="4">
        <f t="shared" si="3"/>
        <v>9.31939356</v>
      </c>
      <c r="I52" s="4">
        <v>0.8</v>
      </c>
      <c r="J52" s="4">
        <v>0.8</v>
      </c>
      <c r="K52" s="4">
        <v>85</v>
      </c>
      <c r="L52" s="4">
        <v>13</v>
      </c>
      <c r="M52" s="4">
        <v>1100</v>
      </c>
      <c r="N52" s="4" t="s">
        <v>31</v>
      </c>
      <c r="O52" s="4">
        <v>1</v>
      </c>
      <c r="P52" s="4">
        <f t="shared" si="1"/>
        <v>1.9856662414772728</v>
      </c>
      <c r="Q52" s="4">
        <v>2</v>
      </c>
      <c r="R52" s="6">
        <f t="shared" si="2"/>
        <v>26</v>
      </c>
    </row>
    <row r="53" spans="2:18">
      <c r="B53" s="50"/>
      <c r="C53" s="46"/>
      <c r="D53" s="4" t="s">
        <v>72</v>
      </c>
      <c r="E53" s="4" t="s">
        <v>28</v>
      </c>
      <c r="F53" s="4">
        <v>150</v>
      </c>
      <c r="G53" s="4">
        <v>201.55</v>
      </c>
      <c r="H53" s="4">
        <f t="shared" si="3"/>
        <v>18.723994999999999</v>
      </c>
      <c r="I53" s="4">
        <v>0.8</v>
      </c>
      <c r="J53" s="4">
        <v>0.8</v>
      </c>
      <c r="K53" s="4">
        <v>85</v>
      </c>
      <c r="L53" s="4">
        <v>13</v>
      </c>
      <c r="M53" s="4">
        <v>1100</v>
      </c>
      <c r="N53" s="4" t="s">
        <v>31</v>
      </c>
      <c r="O53" s="4"/>
      <c r="P53" s="4">
        <f t="shared" si="1"/>
        <v>3.9894875710227269</v>
      </c>
      <c r="Q53" s="4">
        <v>4</v>
      </c>
      <c r="R53" s="6">
        <f t="shared" si="2"/>
        <v>52</v>
      </c>
    </row>
    <row r="54" spans="2:18">
      <c r="B54" s="50"/>
      <c r="C54" s="46"/>
      <c r="D54" s="4" t="s">
        <v>51</v>
      </c>
      <c r="E54" s="4" t="s">
        <v>50</v>
      </c>
      <c r="F54" s="4">
        <v>150</v>
      </c>
      <c r="G54" s="4">
        <v>244.26390000000001</v>
      </c>
      <c r="H54" s="4">
        <f>G54*0.0929</f>
        <v>22.692116309999999</v>
      </c>
      <c r="I54" s="4">
        <v>0.8</v>
      </c>
      <c r="J54" s="4">
        <v>0.8</v>
      </c>
      <c r="K54" s="4">
        <v>120</v>
      </c>
      <c r="L54" s="4">
        <v>26</v>
      </c>
      <c r="M54" s="4">
        <v>4400</v>
      </c>
      <c r="N54" s="4" t="s">
        <v>45</v>
      </c>
      <c r="O54" s="4">
        <v>1</v>
      </c>
      <c r="P54" s="4">
        <f>(F54*H54)/(M54*0.8*0.8)</f>
        <v>1.2087419909446022</v>
      </c>
      <c r="Q54" s="4">
        <v>2</v>
      </c>
      <c r="R54" s="6">
        <f t="shared" si="2"/>
        <v>52</v>
      </c>
    </row>
    <row r="55" spans="2:18">
      <c r="B55" s="50"/>
      <c r="C55" s="46"/>
      <c r="D55" s="4" t="s">
        <v>73</v>
      </c>
      <c r="E55" s="4" t="s">
        <v>50</v>
      </c>
      <c r="F55" s="4">
        <v>150</v>
      </c>
      <c r="G55" s="4">
        <v>297.36790000000002</v>
      </c>
      <c r="H55" s="4">
        <f>G55*0.0929</f>
        <v>27.625477910000001</v>
      </c>
      <c r="I55" s="4">
        <v>0.8</v>
      </c>
      <c r="J55" s="4">
        <v>0.8</v>
      </c>
      <c r="K55" s="4">
        <v>85</v>
      </c>
      <c r="L55" s="4">
        <v>13</v>
      </c>
      <c r="M55" s="4">
        <v>1100</v>
      </c>
      <c r="N55" s="4" t="s">
        <v>31</v>
      </c>
      <c r="O55" s="4">
        <v>1</v>
      </c>
      <c r="P55" s="4">
        <f>(F55*H55)/(M55*0.8*0.8)</f>
        <v>5.8861103501420464</v>
      </c>
      <c r="Q55" s="4">
        <v>6</v>
      </c>
      <c r="R55" s="6">
        <f t="shared" si="2"/>
        <v>78</v>
      </c>
    </row>
    <row r="56" spans="2:18">
      <c r="B56" s="50"/>
      <c r="C56" s="46"/>
      <c r="D56" s="4" t="s">
        <v>74</v>
      </c>
      <c r="E56" s="4" t="s">
        <v>28</v>
      </c>
      <c r="F56" s="4">
        <v>150</v>
      </c>
      <c r="G56" s="4">
        <v>14.916600000000001</v>
      </c>
      <c r="H56" s="4">
        <f t="shared" ref="H56" si="6">G56*0.0929</f>
        <v>1.3857521399999999</v>
      </c>
      <c r="I56" s="4">
        <v>0.8</v>
      </c>
      <c r="J56" s="4">
        <v>0.8</v>
      </c>
      <c r="K56" s="4">
        <v>60</v>
      </c>
      <c r="L56" s="4">
        <v>11</v>
      </c>
      <c r="M56" s="4">
        <v>180</v>
      </c>
      <c r="N56" s="4" t="s">
        <v>35</v>
      </c>
      <c r="O56" s="4">
        <v>1</v>
      </c>
      <c r="P56" s="4">
        <f>(F56*H56)/(M56*0.8*0.8)</f>
        <v>1.8043647656249999</v>
      </c>
      <c r="Q56" s="4">
        <v>2</v>
      </c>
      <c r="R56" s="6">
        <f t="shared" si="2"/>
        <v>22</v>
      </c>
    </row>
    <row r="57" spans="2:18">
      <c r="B57" s="50"/>
      <c r="C57" s="46"/>
      <c r="D57" s="4"/>
      <c r="E57" s="4"/>
      <c r="F57" s="4"/>
      <c r="G57" s="4"/>
      <c r="H57" s="4">
        <f>SUM(H40:H56)</f>
        <v>449.9953279099999</v>
      </c>
      <c r="I57" s="4"/>
      <c r="J57" s="4"/>
      <c r="K57" s="4"/>
      <c r="L57" s="4"/>
      <c r="M57" s="4"/>
      <c r="N57" s="4"/>
      <c r="O57" s="4"/>
      <c r="P57" s="4"/>
      <c r="Q57" s="4"/>
      <c r="R57" s="6"/>
    </row>
    <row r="58" spans="2:18">
      <c r="B58" s="50"/>
      <c r="C58" s="46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6"/>
    </row>
    <row r="59" spans="2:18" ht="15" thickBot="1">
      <c r="B59" s="51"/>
      <c r="C59" s="4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2:18" ht="84" customHeight="1">
      <c r="B60" s="49">
        <v>4</v>
      </c>
      <c r="C60" s="45" t="s">
        <v>75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6"/>
    </row>
    <row r="61" spans="2:18">
      <c r="B61" s="50"/>
      <c r="C61" s="46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6"/>
    </row>
    <row r="62" spans="2:18">
      <c r="B62" s="50"/>
      <c r="C62" s="46"/>
      <c r="D62" s="4" t="s">
        <v>76</v>
      </c>
      <c r="E62" s="4" t="s">
        <v>44</v>
      </c>
      <c r="F62" s="4">
        <v>400</v>
      </c>
      <c r="G62" s="4">
        <v>1328.9864</v>
      </c>
      <c r="H62" s="4">
        <f t="shared" si="3"/>
        <v>123.46283656</v>
      </c>
      <c r="I62" s="4">
        <v>0.8</v>
      </c>
      <c r="J62" s="4">
        <v>0.8</v>
      </c>
      <c r="K62" s="4">
        <v>120</v>
      </c>
      <c r="L62" s="4">
        <v>26</v>
      </c>
      <c r="M62" s="4">
        <v>4400</v>
      </c>
      <c r="N62" s="4" t="s">
        <v>45</v>
      </c>
      <c r="O62" s="4">
        <v>1</v>
      </c>
      <c r="P62" s="4">
        <f t="shared" si="1"/>
        <v>17.537334738636364</v>
      </c>
      <c r="Q62" s="4">
        <v>17</v>
      </c>
      <c r="R62" s="6">
        <f t="shared" si="2"/>
        <v>442</v>
      </c>
    </row>
    <row r="63" spans="2:18">
      <c r="B63" s="50"/>
      <c r="C63" s="46"/>
      <c r="D63" s="4" t="s">
        <v>77</v>
      </c>
      <c r="E63" s="4" t="s">
        <v>28</v>
      </c>
      <c r="F63" s="4">
        <v>150</v>
      </c>
      <c r="G63" s="4">
        <v>17.5962</v>
      </c>
      <c r="H63" s="4">
        <f t="shared" si="3"/>
        <v>1.6346869799999999</v>
      </c>
      <c r="I63" s="4">
        <v>0.8</v>
      </c>
      <c r="J63" s="4">
        <v>0.8</v>
      </c>
      <c r="K63" s="4">
        <v>85</v>
      </c>
      <c r="L63" s="4">
        <v>10</v>
      </c>
      <c r="M63" s="4">
        <v>600</v>
      </c>
      <c r="N63" s="4" t="s">
        <v>47</v>
      </c>
      <c r="O63" s="4">
        <v>1</v>
      </c>
      <c r="P63" s="4">
        <f t="shared" si="1"/>
        <v>0.63854960156249996</v>
      </c>
      <c r="Q63" s="4">
        <v>1</v>
      </c>
      <c r="R63" s="6">
        <f t="shared" si="2"/>
        <v>10</v>
      </c>
    </row>
    <row r="64" spans="2:18">
      <c r="B64" s="50"/>
      <c r="C64" s="46"/>
      <c r="D64" s="4" t="s">
        <v>78</v>
      </c>
      <c r="E64" s="4" t="s">
        <v>28</v>
      </c>
      <c r="F64" s="4">
        <v>150</v>
      </c>
      <c r="G64" s="4">
        <v>28.2256</v>
      </c>
      <c r="H64" s="4">
        <f t="shared" si="3"/>
        <v>2.6221582400000001</v>
      </c>
      <c r="I64" s="4">
        <v>0.8</v>
      </c>
      <c r="J64" s="4">
        <v>0.8</v>
      </c>
      <c r="K64" s="4">
        <v>85</v>
      </c>
      <c r="L64" s="4">
        <v>10</v>
      </c>
      <c r="M64" s="4">
        <v>600</v>
      </c>
      <c r="N64" s="4" t="s">
        <v>47</v>
      </c>
      <c r="O64" s="4">
        <v>1</v>
      </c>
      <c r="P64" s="4">
        <f t="shared" si="1"/>
        <v>1.0242805625</v>
      </c>
      <c r="Q64" s="4">
        <v>1</v>
      </c>
      <c r="R64" s="6">
        <f t="shared" si="2"/>
        <v>10</v>
      </c>
    </row>
    <row r="65" spans="2:18">
      <c r="B65" s="50"/>
      <c r="C65" s="46"/>
      <c r="D65" s="4" t="s">
        <v>79</v>
      </c>
      <c r="E65" s="4" t="s">
        <v>28</v>
      </c>
      <c r="F65" s="4">
        <v>150</v>
      </c>
      <c r="G65" s="4">
        <v>26.0764</v>
      </c>
      <c r="H65" s="4">
        <f t="shared" si="3"/>
        <v>2.42249756</v>
      </c>
      <c r="I65" s="4">
        <v>0.8</v>
      </c>
      <c r="J65" s="4">
        <v>0.8</v>
      </c>
      <c r="K65" s="4">
        <v>85</v>
      </c>
      <c r="L65" s="4">
        <v>10</v>
      </c>
      <c r="M65" s="4">
        <v>600</v>
      </c>
      <c r="N65" s="4" t="s">
        <v>47</v>
      </c>
      <c r="O65" s="4">
        <v>1</v>
      </c>
      <c r="P65" s="4">
        <f t="shared" si="1"/>
        <v>0.94628810937500007</v>
      </c>
      <c r="Q65" s="4">
        <v>1</v>
      </c>
      <c r="R65" s="6">
        <f t="shared" si="2"/>
        <v>10</v>
      </c>
    </row>
    <row r="66" spans="2:18">
      <c r="B66" s="50"/>
      <c r="C66" s="46"/>
      <c r="D66" s="4" t="s">
        <v>80</v>
      </c>
      <c r="E66" s="4" t="s">
        <v>44</v>
      </c>
      <c r="F66" s="4">
        <v>400</v>
      </c>
      <c r="G66" s="4">
        <v>2106.6664999999998</v>
      </c>
      <c r="H66" s="4">
        <f t="shared" si="3"/>
        <v>195.70931784999996</v>
      </c>
      <c r="I66" s="4">
        <v>0.8</v>
      </c>
      <c r="J66" s="4">
        <v>0.8</v>
      </c>
      <c r="K66" s="4">
        <v>120</v>
      </c>
      <c r="L66" s="4">
        <v>26</v>
      </c>
      <c r="M66" s="4">
        <v>4400</v>
      </c>
      <c r="N66" s="4" t="s">
        <v>45</v>
      </c>
      <c r="O66" s="4">
        <v>1</v>
      </c>
      <c r="P66" s="4">
        <f t="shared" si="1"/>
        <v>27.799619012784088</v>
      </c>
      <c r="Q66" s="4">
        <v>31</v>
      </c>
      <c r="R66" s="6">
        <f t="shared" si="2"/>
        <v>806</v>
      </c>
    </row>
    <row r="67" spans="2:18">
      <c r="B67" s="50"/>
      <c r="C67" s="46"/>
      <c r="D67" s="4" t="s">
        <v>81</v>
      </c>
      <c r="E67" s="4" t="s">
        <v>28</v>
      </c>
      <c r="F67" s="4">
        <v>150</v>
      </c>
      <c r="G67" s="4">
        <v>16.6709</v>
      </c>
      <c r="H67" s="4">
        <f t="shared" si="3"/>
        <v>1.5487266099999999</v>
      </c>
      <c r="I67" s="4">
        <v>0.8</v>
      </c>
      <c r="J67" s="4">
        <v>0.8</v>
      </c>
      <c r="K67" s="4">
        <v>85</v>
      </c>
      <c r="L67" s="4">
        <v>10</v>
      </c>
      <c r="M67" s="4">
        <v>600</v>
      </c>
      <c r="N67" s="4" t="s">
        <v>47</v>
      </c>
      <c r="O67" s="4">
        <v>1</v>
      </c>
      <c r="P67" s="4">
        <f t="shared" si="1"/>
        <v>0.60497133203124998</v>
      </c>
      <c r="Q67" s="4">
        <v>1</v>
      </c>
      <c r="R67" s="6">
        <f t="shared" si="2"/>
        <v>10</v>
      </c>
    </row>
    <row r="68" spans="2:18">
      <c r="B68" s="50"/>
      <c r="C68" s="46"/>
      <c r="D68" s="4" t="s">
        <v>82</v>
      </c>
      <c r="E68" s="4" t="s">
        <v>28</v>
      </c>
      <c r="F68" s="4">
        <v>100</v>
      </c>
      <c r="G68" s="4">
        <v>30.669899999999998</v>
      </c>
      <c r="H68" s="4">
        <f t="shared" si="3"/>
        <v>2.8492337099999996</v>
      </c>
      <c r="I68" s="4">
        <v>0.8</v>
      </c>
      <c r="J68" s="4">
        <v>0.8</v>
      </c>
      <c r="K68" s="4">
        <v>85</v>
      </c>
      <c r="L68" s="4">
        <v>10</v>
      </c>
      <c r="M68" s="4">
        <v>600</v>
      </c>
      <c r="N68" s="4" t="s">
        <v>47</v>
      </c>
      <c r="O68" s="4">
        <v>1</v>
      </c>
      <c r="P68" s="4">
        <f t="shared" si="1"/>
        <v>0.7419879453124999</v>
      </c>
      <c r="Q68" s="4">
        <v>1</v>
      </c>
      <c r="R68" s="6">
        <f t="shared" si="2"/>
        <v>10</v>
      </c>
    </row>
    <row r="69" spans="2:18">
      <c r="B69" s="50"/>
      <c r="C69" s="46"/>
      <c r="D69" s="4" t="s">
        <v>83</v>
      </c>
      <c r="E69" s="4" t="s">
        <v>28</v>
      </c>
      <c r="F69" s="4">
        <v>100</v>
      </c>
      <c r="G69" s="4">
        <v>31.541899999999998</v>
      </c>
      <c r="H69" s="4">
        <f t="shared" si="3"/>
        <v>2.9302425099999998</v>
      </c>
      <c r="I69" s="4">
        <v>0.8</v>
      </c>
      <c r="J69" s="4">
        <v>0.8</v>
      </c>
      <c r="K69" s="4">
        <v>85</v>
      </c>
      <c r="L69" s="4">
        <v>10</v>
      </c>
      <c r="M69" s="4">
        <v>600</v>
      </c>
      <c r="N69" s="4" t="s">
        <v>47</v>
      </c>
      <c r="O69" s="4">
        <v>1</v>
      </c>
      <c r="P69" s="4">
        <f t="shared" si="1"/>
        <v>0.76308398697916668</v>
      </c>
      <c r="Q69" s="4">
        <v>1</v>
      </c>
      <c r="R69" s="6">
        <f t="shared" si="2"/>
        <v>10</v>
      </c>
    </row>
    <row r="70" spans="2:18">
      <c r="B70" s="50"/>
      <c r="C70" s="46"/>
      <c r="D70" s="4" t="s">
        <v>73</v>
      </c>
      <c r="E70" s="4" t="s">
        <v>50</v>
      </c>
      <c r="F70" s="4">
        <v>150</v>
      </c>
      <c r="G70" s="4">
        <v>302.33319999999998</v>
      </c>
      <c r="H70" s="4">
        <f t="shared" si="3"/>
        <v>28.086754279999997</v>
      </c>
      <c r="I70" s="4">
        <v>0.8</v>
      </c>
      <c r="J70" s="4">
        <v>0.8</v>
      </c>
      <c r="K70" s="4">
        <v>85</v>
      </c>
      <c r="L70" s="4">
        <v>13</v>
      </c>
      <c r="M70" s="4">
        <v>1100</v>
      </c>
      <c r="N70" s="4" t="s">
        <v>31</v>
      </c>
      <c r="O70" s="4">
        <v>1</v>
      </c>
      <c r="P70" s="4">
        <f t="shared" si="1"/>
        <v>5.9843936676136362</v>
      </c>
      <c r="Q70" s="4">
        <v>6</v>
      </c>
      <c r="R70" s="6">
        <f t="shared" si="2"/>
        <v>78</v>
      </c>
    </row>
    <row r="71" spans="2:18">
      <c r="B71" s="50"/>
      <c r="C71" s="46"/>
      <c r="D71" s="4" t="s">
        <v>59</v>
      </c>
      <c r="E71" s="4" t="s">
        <v>28</v>
      </c>
      <c r="F71" s="4">
        <v>150</v>
      </c>
      <c r="G71" s="4">
        <v>79.908699999999996</v>
      </c>
      <c r="H71" s="4">
        <f t="shared" ref="H71" si="7">G71*0.0929</f>
        <v>7.4235182299999991</v>
      </c>
      <c r="I71" s="4">
        <v>0.8</v>
      </c>
      <c r="J71" s="4">
        <v>0.8</v>
      </c>
      <c r="K71" s="4">
        <v>85</v>
      </c>
      <c r="L71" s="4">
        <v>13</v>
      </c>
      <c r="M71" s="4">
        <v>1100</v>
      </c>
      <c r="N71" s="4" t="s">
        <v>31</v>
      </c>
      <c r="O71" s="4">
        <v>1</v>
      </c>
      <c r="P71" s="4">
        <f t="shared" ref="P71" si="8">(F71*H71)/(M71*0.8*0.8)</f>
        <v>1.5817155319602272</v>
      </c>
      <c r="Q71" s="4">
        <v>2</v>
      </c>
      <c r="R71" s="6">
        <f t="shared" si="2"/>
        <v>26</v>
      </c>
    </row>
    <row r="72" spans="2:18">
      <c r="B72" s="50"/>
      <c r="C72" s="46"/>
      <c r="D72" s="4" t="s">
        <v>51</v>
      </c>
      <c r="E72" s="4" t="s">
        <v>50</v>
      </c>
      <c r="F72" s="4">
        <v>150</v>
      </c>
      <c r="G72" s="4">
        <v>241.3108</v>
      </c>
      <c r="H72" s="4">
        <f t="shared" si="3"/>
        <v>22.417773319999998</v>
      </c>
      <c r="I72" s="4">
        <v>0.8</v>
      </c>
      <c r="J72" s="4">
        <v>0.8</v>
      </c>
      <c r="K72" s="4">
        <v>120</v>
      </c>
      <c r="L72" s="4">
        <v>26</v>
      </c>
      <c r="M72" s="4">
        <v>4400</v>
      </c>
      <c r="N72" s="4" t="s">
        <v>45</v>
      </c>
      <c r="O72" s="4">
        <v>1</v>
      </c>
      <c r="P72" s="4">
        <f t="shared" si="1"/>
        <v>1.1941285504261363</v>
      </c>
      <c r="Q72" s="4">
        <v>2</v>
      </c>
      <c r="R72" s="6">
        <f t="shared" si="2"/>
        <v>52</v>
      </c>
    </row>
    <row r="73" spans="2:18">
      <c r="B73" s="50"/>
      <c r="C73" s="46"/>
      <c r="D73" s="4" t="s">
        <v>65</v>
      </c>
      <c r="E73" s="4" t="s">
        <v>28</v>
      </c>
      <c r="F73" s="4">
        <v>150</v>
      </c>
      <c r="G73" s="4">
        <v>195.05690000000001</v>
      </c>
      <c r="H73" s="4">
        <f t="shared" si="3"/>
        <v>18.12078601</v>
      </c>
      <c r="I73" s="4">
        <v>0.8</v>
      </c>
      <c r="J73" s="4">
        <v>0.8</v>
      </c>
      <c r="K73" s="4">
        <v>100</v>
      </c>
      <c r="L73" s="4">
        <v>25</v>
      </c>
      <c r="M73" s="4">
        <v>2500</v>
      </c>
      <c r="N73" s="4" t="s">
        <v>29</v>
      </c>
      <c r="O73" s="4">
        <v>1</v>
      </c>
      <c r="P73" s="4">
        <f t="shared" si="1"/>
        <v>1.6988236884374999</v>
      </c>
      <c r="Q73" s="4">
        <v>2</v>
      </c>
      <c r="R73" s="6">
        <f t="shared" si="2"/>
        <v>50</v>
      </c>
    </row>
    <row r="74" spans="2:18">
      <c r="B74" s="50"/>
      <c r="C74" s="46"/>
      <c r="D74" s="4" t="s">
        <v>34</v>
      </c>
      <c r="E74" s="4" t="s">
        <v>28</v>
      </c>
      <c r="F74" s="4">
        <v>50</v>
      </c>
      <c r="G74" s="4">
        <v>23.8779</v>
      </c>
      <c r="H74" s="4">
        <f t="shared" si="3"/>
        <v>2.21825691</v>
      </c>
      <c r="I74" s="4">
        <v>0.8</v>
      </c>
      <c r="J74" s="4">
        <v>0.8</v>
      </c>
      <c r="K74" s="4">
        <v>60</v>
      </c>
      <c r="L74" s="4">
        <v>11</v>
      </c>
      <c r="M74" s="4">
        <v>180</v>
      </c>
      <c r="N74" s="4" t="s">
        <v>35</v>
      </c>
      <c r="O74" s="4">
        <v>1</v>
      </c>
      <c r="P74" s="4">
        <f t="shared" si="1"/>
        <v>0.96278511718750004</v>
      </c>
      <c r="Q74" s="4">
        <v>1</v>
      </c>
      <c r="R74" s="6">
        <f t="shared" si="2"/>
        <v>11</v>
      </c>
    </row>
    <row r="75" spans="2:18">
      <c r="B75" s="50"/>
      <c r="C75" s="46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6"/>
    </row>
    <row r="76" spans="2:18">
      <c r="B76" s="50"/>
      <c r="C76" s="4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6"/>
    </row>
    <row r="77" spans="2:18">
      <c r="B77" s="50"/>
      <c r="C77" s="46"/>
      <c r="D77" s="4"/>
      <c r="E77" s="4"/>
      <c r="F77" s="4"/>
      <c r="G77" s="4"/>
      <c r="H77" s="4">
        <f>SUM(H62:H74)</f>
        <v>411.44678877000001</v>
      </c>
      <c r="I77" s="4"/>
      <c r="J77" s="4"/>
      <c r="K77" s="4"/>
      <c r="L77" s="4"/>
      <c r="M77" s="4"/>
      <c r="N77" s="4"/>
      <c r="O77" s="4"/>
      <c r="P77" s="4"/>
      <c r="Q77" s="4"/>
      <c r="R77" s="6"/>
    </row>
    <row r="78" spans="2:18" ht="15" thickBot="1">
      <c r="B78" s="51"/>
      <c r="C78" s="4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2:18">
      <c r="B79" s="49">
        <v>5</v>
      </c>
      <c r="C79" s="48" t="s">
        <v>84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6"/>
    </row>
    <row r="80" spans="2:18">
      <c r="B80" s="50"/>
      <c r="C80" s="4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6"/>
    </row>
    <row r="81" spans="2:18">
      <c r="B81" s="50"/>
      <c r="C81" s="43"/>
      <c r="D81" s="4" t="s">
        <v>85</v>
      </c>
      <c r="E81" s="4" t="s">
        <v>44</v>
      </c>
      <c r="F81" s="4">
        <v>400</v>
      </c>
      <c r="G81" s="4">
        <v>1247.5188000000001</v>
      </c>
      <c r="H81" s="4">
        <f t="shared" si="3"/>
        <v>115.89449652</v>
      </c>
      <c r="I81" s="4">
        <v>0.8</v>
      </c>
      <c r="J81" s="4">
        <v>0.8</v>
      </c>
      <c r="K81" s="4">
        <v>120</v>
      </c>
      <c r="L81" s="4">
        <v>26</v>
      </c>
      <c r="M81" s="4">
        <v>4400</v>
      </c>
      <c r="N81" s="4" t="s">
        <v>45</v>
      </c>
      <c r="O81" s="4">
        <v>1</v>
      </c>
      <c r="P81" s="4">
        <f t="shared" ref="P81:P109" si="9">(F81*H81)/(M81*0.8*0.8)</f>
        <v>16.462286437500001</v>
      </c>
      <c r="Q81" s="4">
        <v>18</v>
      </c>
      <c r="R81" s="6">
        <f t="shared" ref="R81:R109" si="10">Q81*L81</f>
        <v>468</v>
      </c>
    </row>
    <row r="82" spans="2:18">
      <c r="B82" s="50"/>
      <c r="C82" s="43"/>
      <c r="D82" s="4" t="s">
        <v>86</v>
      </c>
      <c r="E82" s="4" t="s">
        <v>28</v>
      </c>
      <c r="F82" s="4">
        <v>150</v>
      </c>
      <c r="G82" s="4">
        <v>17.5962</v>
      </c>
      <c r="H82" s="4">
        <f t="shared" si="3"/>
        <v>1.6346869799999999</v>
      </c>
      <c r="I82" s="4">
        <v>0.8</v>
      </c>
      <c r="J82" s="4">
        <v>0.8</v>
      </c>
      <c r="K82" s="4">
        <v>85</v>
      </c>
      <c r="L82" s="4">
        <v>10</v>
      </c>
      <c r="M82" s="4">
        <v>600</v>
      </c>
      <c r="N82" s="4" t="s">
        <v>47</v>
      </c>
      <c r="O82" s="4">
        <v>1</v>
      </c>
      <c r="P82" s="4">
        <f t="shared" si="9"/>
        <v>0.63854960156249996</v>
      </c>
      <c r="Q82" s="4">
        <v>1</v>
      </c>
      <c r="R82" s="6">
        <f t="shared" si="10"/>
        <v>10</v>
      </c>
    </row>
    <row r="83" spans="2:18">
      <c r="B83" s="50"/>
      <c r="C83" s="43"/>
      <c r="D83" s="4" t="s">
        <v>87</v>
      </c>
      <c r="E83" s="4" t="s">
        <v>28</v>
      </c>
      <c r="F83" s="4">
        <v>150</v>
      </c>
      <c r="G83" s="4">
        <v>29.84</v>
      </c>
      <c r="H83" s="4">
        <f t="shared" si="3"/>
        <v>2.7721359999999997</v>
      </c>
      <c r="I83" s="4">
        <v>0.8</v>
      </c>
      <c r="J83" s="4">
        <v>0.8</v>
      </c>
      <c r="K83" s="4">
        <v>85</v>
      </c>
      <c r="L83" s="4">
        <v>10</v>
      </c>
      <c r="M83" s="4">
        <v>600</v>
      </c>
      <c r="N83" s="4" t="s">
        <v>47</v>
      </c>
      <c r="O83" s="4">
        <v>1</v>
      </c>
      <c r="P83" s="4">
        <f t="shared" si="9"/>
        <v>1.0828656249999999</v>
      </c>
      <c r="Q83" s="4">
        <v>1</v>
      </c>
      <c r="R83" s="6">
        <f t="shared" si="10"/>
        <v>10</v>
      </c>
    </row>
    <row r="84" spans="2:18">
      <c r="B84" s="50"/>
      <c r="C84" s="43"/>
      <c r="D84" s="4" t="s">
        <v>88</v>
      </c>
      <c r="E84" s="4" t="s">
        <v>28</v>
      </c>
      <c r="F84" s="4">
        <v>150</v>
      </c>
      <c r="G84" s="4">
        <v>28.331499999999998</v>
      </c>
      <c r="H84" s="4">
        <f t="shared" si="3"/>
        <v>2.6319963499999997</v>
      </c>
      <c r="I84" s="4">
        <v>0.8</v>
      </c>
      <c r="J84" s="4">
        <v>0.8</v>
      </c>
      <c r="K84" s="4">
        <v>85</v>
      </c>
      <c r="L84" s="4">
        <v>10</v>
      </c>
      <c r="M84" s="4">
        <v>600</v>
      </c>
      <c r="N84" s="4" t="s">
        <v>47</v>
      </c>
      <c r="O84" s="4">
        <v>1</v>
      </c>
      <c r="P84" s="4">
        <f t="shared" si="9"/>
        <v>1.02812357421875</v>
      </c>
      <c r="Q84" s="4">
        <v>1</v>
      </c>
      <c r="R84" s="6">
        <f t="shared" si="10"/>
        <v>10</v>
      </c>
    </row>
    <row r="85" spans="2:18">
      <c r="B85" s="50"/>
      <c r="C85" s="43"/>
      <c r="D85" s="4" t="s">
        <v>89</v>
      </c>
      <c r="E85" s="4" t="s">
        <v>44</v>
      </c>
      <c r="F85" s="4">
        <v>400</v>
      </c>
      <c r="G85" s="4">
        <v>2013.7808</v>
      </c>
      <c r="H85" s="4">
        <f t="shared" si="3"/>
        <v>187.08023631999998</v>
      </c>
      <c r="I85" s="4">
        <v>0.8</v>
      </c>
      <c r="J85" s="4">
        <v>0.8</v>
      </c>
      <c r="K85" s="4">
        <v>120</v>
      </c>
      <c r="L85" s="4">
        <v>26</v>
      </c>
      <c r="M85" s="4">
        <v>4400</v>
      </c>
      <c r="N85" s="4" t="s">
        <v>45</v>
      </c>
      <c r="O85" s="4">
        <v>1</v>
      </c>
      <c r="P85" s="4">
        <f t="shared" si="9"/>
        <v>26.57389720454545</v>
      </c>
      <c r="Q85" s="4">
        <v>28</v>
      </c>
      <c r="R85" s="6">
        <f t="shared" si="10"/>
        <v>728</v>
      </c>
    </row>
    <row r="86" spans="2:18">
      <c r="B86" s="50"/>
      <c r="C86" s="43"/>
      <c r="D86" s="4" t="s">
        <v>90</v>
      </c>
      <c r="E86" s="4" t="s">
        <v>28</v>
      </c>
      <c r="F86" s="4">
        <v>150</v>
      </c>
      <c r="G86" s="4">
        <v>16.105799999999999</v>
      </c>
      <c r="H86" s="4">
        <f t="shared" si="3"/>
        <v>1.4962288199999998</v>
      </c>
      <c r="I86" s="4">
        <v>0.8</v>
      </c>
      <c r="J86" s="4">
        <v>0.8</v>
      </c>
      <c r="K86" s="4">
        <v>85</v>
      </c>
      <c r="L86" s="4">
        <v>10</v>
      </c>
      <c r="M86" s="4">
        <v>600</v>
      </c>
      <c r="N86" s="4" t="s">
        <v>47</v>
      </c>
      <c r="O86" s="4">
        <v>1</v>
      </c>
      <c r="P86" s="4">
        <f t="shared" si="9"/>
        <v>0.58446438281249991</v>
      </c>
      <c r="Q86" s="4">
        <v>1</v>
      </c>
      <c r="R86" s="6">
        <f t="shared" si="10"/>
        <v>10</v>
      </c>
    </row>
    <row r="87" spans="2:18">
      <c r="B87" s="50"/>
      <c r="C87" s="43"/>
      <c r="D87" s="4" t="s">
        <v>91</v>
      </c>
      <c r="E87" s="4" t="s">
        <v>28</v>
      </c>
      <c r="F87" s="4">
        <v>150</v>
      </c>
      <c r="G87" s="4">
        <v>24.8689</v>
      </c>
      <c r="H87" s="4">
        <f t="shared" si="3"/>
        <v>2.3103208099999999</v>
      </c>
      <c r="I87" s="4">
        <v>0.8</v>
      </c>
      <c r="J87" s="4">
        <v>0.8</v>
      </c>
      <c r="K87" s="4">
        <v>85</v>
      </c>
      <c r="L87" s="4">
        <v>10</v>
      </c>
      <c r="M87" s="4">
        <v>600</v>
      </c>
      <c r="N87" s="4" t="s">
        <v>47</v>
      </c>
      <c r="O87" s="4">
        <v>1</v>
      </c>
      <c r="P87" s="4">
        <f t="shared" si="9"/>
        <v>0.90246906640624991</v>
      </c>
      <c r="Q87" s="4">
        <v>1</v>
      </c>
      <c r="R87" s="6">
        <f t="shared" si="10"/>
        <v>10</v>
      </c>
    </row>
    <row r="88" spans="2:18">
      <c r="B88" s="50"/>
      <c r="C88" s="43"/>
      <c r="D88" s="4" t="s">
        <v>88</v>
      </c>
      <c r="E88" s="4" t="s">
        <v>28</v>
      </c>
      <c r="F88" s="4">
        <v>150</v>
      </c>
      <c r="G88" s="4">
        <v>30.614799999999999</v>
      </c>
      <c r="H88" s="4">
        <f t="shared" si="3"/>
        <v>2.84411492</v>
      </c>
      <c r="I88" s="4">
        <v>0.8</v>
      </c>
      <c r="J88" s="4">
        <v>0.8</v>
      </c>
      <c r="K88" s="4">
        <v>85</v>
      </c>
      <c r="L88" s="4">
        <v>10</v>
      </c>
      <c r="M88" s="4">
        <v>600</v>
      </c>
      <c r="N88" s="4" t="s">
        <v>47</v>
      </c>
      <c r="O88" s="4">
        <v>1</v>
      </c>
      <c r="P88" s="4">
        <f t="shared" si="9"/>
        <v>1.110982390625</v>
      </c>
      <c r="Q88" s="4">
        <v>2</v>
      </c>
      <c r="R88" s="6">
        <f t="shared" si="10"/>
        <v>20</v>
      </c>
    </row>
    <row r="89" spans="2:18">
      <c r="B89" s="50"/>
      <c r="C89" s="43"/>
      <c r="D89" s="4" t="s">
        <v>92</v>
      </c>
      <c r="E89" s="4" t="s">
        <v>44</v>
      </c>
      <c r="F89" s="4">
        <v>400</v>
      </c>
      <c r="G89" s="4">
        <v>1622.9297999999999</v>
      </c>
      <c r="H89" s="4">
        <f t="shared" ref="H89:H109" si="11">G89*0.0929</f>
        <v>150.77017841999998</v>
      </c>
      <c r="I89" s="4">
        <v>0.8</v>
      </c>
      <c r="J89" s="4">
        <v>0.8</v>
      </c>
      <c r="K89" s="4">
        <v>120</v>
      </c>
      <c r="L89" s="4">
        <v>26</v>
      </c>
      <c r="M89" s="4">
        <v>4400</v>
      </c>
      <c r="N89" s="4" t="s">
        <v>45</v>
      </c>
      <c r="O89" s="4">
        <v>1</v>
      </c>
      <c r="P89" s="4">
        <f t="shared" si="9"/>
        <v>21.41621852556818</v>
      </c>
      <c r="Q89" s="4">
        <v>22</v>
      </c>
      <c r="R89" s="6">
        <f t="shared" si="10"/>
        <v>572</v>
      </c>
    </row>
    <row r="90" spans="2:18">
      <c r="B90" s="50"/>
      <c r="C90" s="43"/>
      <c r="D90" s="4" t="s">
        <v>93</v>
      </c>
      <c r="E90" s="4" t="s">
        <v>28</v>
      </c>
      <c r="F90" s="4">
        <v>150</v>
      </c>
      <c r="G90" s="4">
        <v>16.6708</v>
      </c>
      <c r="H90" s="4">
        <f t="shared" si="11"/>
        <v>1.54871732</v>
      </c>
      <c r="I90" s="4">
        <v>0.8</v>
      </c>
      <c r="J90" s="4">
        <v>0.8</v>
      </c>
      <c r="K90" s="4">
        <v>85</v>
      </c>
      <c r="L90" s="4">
        <v>10</v>
      </c>
      <c r="M90" s="4">
        <v>600</v>
      </c>
      <c r="N90" s="4" t="s">
        <v>47</v>
      </c>
      <c r="O90" s="4">
        <v>1</v>
      </c>
      <c r="P90" s="4">
        <f t="shared" si="9"/>
        <v>0.60496770312499992</v>
      </c>
      <c r="Q90" s="4">
        <v>1</v>
      </c>
      <c r="R90" s="6">
        <f t="shared" si="10"/>
        <v>10</v>
      </c>
    </row>
    <row r="91" spans="2:18">
      <c r="B91" s="50"/>
      <c r="C91" s="43"/>
      <c r="D91" s="4" t="s">
        <v>94</v>
      </c>
      <c r="E91" s="4" t="s">
        <v>28</v>
      </c>
      <c r="F91" s="4">
        <v>150</v>
      </c>
      <c r="G91" s="4">
        <v>31.542200000000001</v>
      </c>
      <c r="H91" s="4">
        <f t="shared" si="11"/>
        <v>2.9302703800000001</v>
      </c>
      <c r="I91" s="4">
        <v>0.8</v>
      </c>
      <c r="J91" s="4">
        <v>0.8</v>
      </c>
      <c r="K91" s="4">
        <v>85</v>
      </c>
      <c r="L91" s="4">
        <v>10</v>
      </c>
      <c r="M91" s="4">
        <v>600</v>
      </c>
      <c r="N91" s="4" t="s">
        <v>47</v>
      </c>
      <c r="O91" s="4">
        <v>1</v>
      </c>
      <c r="P91" s="4">
        <f t="shared" si="9"/>
        <v>1.1446368671875</v>
      </c>
      <c r="Q91" s="4">
        <v>2</v>
      </c>
      <c r="R91" s="6">
        <f t="shared" si="10"/>
        <v>20</v>
      </c>
    </row>
    <row r="92" spans="2:18">
      <c r="B92" s="50"/>
      <c r="C92" s="43"/>
      <c r="D92" s="4" t="s">
        <v>88</v>
      </c>
      <c r="E92" s="4" t="s">
        <v>28</v>
      </c>
      <c r="F92" s="4">
        <v>150</v>
      </c>
      <c r="G92" s="4">
        <v>28.953299999999999</v>
      </c>
      <c r="H92" s="4">
        <f t="shared" si="11"/>
        <v>2.6897615699999999</v>
      </c>
      <c r="I92" s="4">
        <v>0.8</v>
      </c>
      <c r="J92" s="4">
        <v>0.8</v>
      </c>
      <c r="K92" s="4">
        <v>85</v>
      </c>
      <c r="L92" s="4">
        <v>10</v>
      </c>
      <c r="M92" s="4">
        <v>600</v>
      </c>
      <c r="N92" s="4" t="s">
        <v>47</v>
      </c>
      <c r="O92" s="4">
        <v>1</v>
      </c>
      <c r="P92" s="4">
        <f t="shared" si="9"/>
        <v>1.05068811328125</v>
      </c>
      <c r="Q92" s="4">
        <v>1</v>
      </c>
      <c r="R92" s="6">
        <f t="shared" si="10"/>
        <v>10</v>
      </c>
    </row>
    <row r="93" spans="2:18">
      <c r="B93" s="50"/>
      <c r="C93" s="43"/>
      <c r="D93" s="4" t="s">
        <v>65</v>
      </c>
      <c r="E93" s="4" t="s">
        <v>28</v>
      </c>
      <c r="F93" s="4">
        <v>150</v>
      </c>
      <c r="G93" s="4">
        <v>201.6523</v>
      </c>
      <c r="H93" s="4">
        <f t="shared" si="11"/>
        <v>18.733498669999999</v>
      </c>
      <c r="I93" s="4">
        <v>0.8</v>
      </c>
      <c r="J93" s="4">
        <v>0.8</v>
      </c>
      <c r="K93" s="4">
        <v>100</v>
      </c>
      <c r="L93" s="4">
        <v>25</v>
      </c>
      <c r="M93" s="4">
        <v>2500</v>
      </c>
      <c r="N93" s="4" t="s">
        <v>29</v>
      </c>
      <c r="O93" s="4">
        <v>1</v>
      </c>
      <c r="P93" s="4">
        <f t="shared" si="9"/>
        <v>1.7562655003124998</v>
      </c>
      <c r="Q93" s="4">
        <v>2</v>
      </c>
      <c r="R93" s="6">
        <f t="shared" si="10"/>
        <v>50</v>
      </c>
    </row>
    <row r="94" spans="2:18">
      <c r="B94" s="50"/>
      <c r="C94" s="43"/>
      <c r="D94" s="4" t="s">
        <v>59</v>
      </c>
      <c r="E94" s="4" t="s">
        <v>28</v>
      </c>
      <c r="F94" s="4">
        <v>150</v>
      </c>
      <c r="G94" s="4">
        <v>79.908699999999996</v>
      </c>
      <c r="H94" s="4">
        <f t="shared" si="11"/>
        <v>7.4235182299999991</v>
      </c>
      <c r="I94" s="4">
        <v>0.8</v>
      </c>
      <c r="J94" s="4">
        <v>0.8</v>
      </c>
      <c r="K94" s="4">
        <v>85</v>
      </c>
      <c r="L94" s="4">
        <v>13</v>
      </c>
      <c r="M94" s="4">
        <v>1100</v>
      </c>
      <c r="N94" s="4" t="s">
        <v>31</v>
      </c>
      <c r="O94" s="4">
        <v>1</v>
      </c>
      <c r="P94" s="4">
        <f t="shared" si="9"/>
        <v>1.5817155319602272</v>
      </c>
      <c r="Q94" s="4">
        <v>2</v>
      </c>
      <c r="R94" s="6">
        <f t="shared" si="10"/>
        <v>26</v>
      </c>
    </row>
    <row r="95" spans="2:18">
      <c r="B95" s="50"/>
      <c r="C95" s="43"/>
      <c r="D95" s="4" t="s">
        <v>34</v>
      </c>
      <c r="E95" s="4" t="s">
        <v>28</v>
      </c>
      <c r="F95" s="4">
        <v>50</v>
      </c>
      <c r="G95" s="4">
        <v>24.8002</v>
      </c>
      <c r="H95" s="4">
        <f t="shared" si="11"/>
        <v>2.3039385800000001</v>
      </c>
      <c r="I95" s="4">
        <v>0.8</v>
      </c>
      <c r="J95" s="4">
        <v>0.8</v>
      </c>
      <c r="K95" s="4">
        <v>60</v>
      </c>
      <c r="L95" s="4">
        <v>11</v>
      </c>
      <c r="M95" s="4">
        <v>180</v>
      </c>
      <c r="N95" s="4" t="s">
        <v>35</v>
      </c>
      <c r="O95" s="4">
        <v>1</v>
      </c>
      <c r="P95" s="4">
        <f t="shared" si="9"/>
        <v>0.99997334201388888</v>
      </c>
      <c r="Q95" s="4">
        <v>1</v>
      </c>
      <c r="R95" s="6">
        <f t="shared" si="10"/>
        <v>11</v>
      </c>
    </row>
    <row r="96" spans="2:18">
      <c r="B96" s="50"/>
      <c r="C96" s="43"/>
      <c r="D96" s="4" t="s">
        <v>51</v>
      </c>
      <c r="E96" s="4" t="s">
        <v>50</v>
      </c>
      <c r="F96" s="4">
        <v>150</v>
      </c>
      <c r="G96" s="4">
        <v>245.38149999999999</v>
      </c>
      <c r="H96" s="4">
        <f t="shared" si="11"/>
        <v>22.79594135</v>
      </c>
      <c r="I96" s="4">
        <v>0.8</v>
      </c>
      <c r="J96" s="4">
        <v>0.8</v>
      </c>
      <c r="K96" s="4">
        <v>120</v>
      </c>
      <c r="L96" s="4">
        <v>26</v>
      </c>
      <c r="M96" s="4">
        <v>4400</v>
      </c>
      <c r="N96" s="4" t="s">
        <v>45</v>
      </c>
      <c r="O96" s="4">
        <v>1</v>
      </c>
      <c r="P96" s="4">
        <f t="shared" si="9"/>
        <v>1.2142724440696022</v>
      </c>
      <c r="Q96" s="4">
        <v>2</v>
      </c>
      <c r="R96" s="6">
        <f t="shared" si="10"/>
        <v>52</v>
      </c>
    </row>
    <row r="97" spans="2:18">
      <c r="B97" s="50"/>
      <c r="C97" s="43"/>
      <c r="D97" s="4" t="s">
        <v>73</v>
      </c>
      <c r="E97" s="4" t="s">
        <v>50</v>
      </c>
      <c r="F97" s="4">
        <v>150</v>
      </c>
      <c r="G97" s="4">
        <v>301.43</v>
      </c>
      <c r="H97" s="4">
        <f t="shared" si="11"/>
        <v>28.002846999999999</v>
      </c>
      <c r="I97" s="4">
        <v>0.8</v>
      </c>
      <c r="J97" s="4">
        <v>0.8</v>
      </c>
      <c r="K97" s="4">
        <v>85</v>
      </c>
      <c r="L97" s="4">
        <v>13</v>
      </c>
      <c r="M97" s="4">
        <v>1100</v>
      </c>
      <c r="N97" s="4" t="s">
        <v>31</v>
      </c>
      <c r="O97" s="4">
        <v>1</v>
      </c>
      <c r="P97" s="4">
        <f t="shared" si="9"/>
        <v>5.9665156960227277</v>
      </c>
      <c r="Q97" s="4">
        <v>6</v>
      </c>
      <c r="R97" s="6">
        <f t="shared" si="10"/>
        <v>78</v>
      </c>
    </row>
    <row r="98" spans="2:18">
      <c r="B98" s="50"/>
      <c r="C98" s="4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6"/>
    </row>
    <row r="99" spans="2:18" ht="15" thickBot="1">
      <c r="B99" s="51"/>
      <c r="C99" s="44"/>
      <c r="D99" s="5"/>
      <c r="E99" s="5"/>
      <c r="F99" s="5"/>
      <c r="G99" s="5"/>
      <c r="H99" s="5">
        <f>SUM(H81:H97)</f>
        <v>553.86288823999996</v>
      </c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2:18">
      <c r="B100" s="49">
        <v>6</v>
      </c>
      <c r="C100" s="45" t="s">
        <v>95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6"/>
    </row>
    <row r="101" spans="2:18">
      <c r="B101" s="50"/>
      <c r="C101" s="46"/>
      <c r="D101" s="4" t="s">
        <v>96</v>
      </c>
      <c r="E101" s="4" t="s">
        <v>44</v>
      </c>
      <c r="F101" s="4">
        <v>400</v>
      </c>
      <c r="G101" s="4">
        <v>2170.6790999999998</v>
      </c>
      <c r="H101" s="4">
        <f t="shared" si="11"/>
        <v>201.65608838999998</v>
      </c>
      <c r="I101" s="4">
        <v>0.8</v>
      </c>
      <c r="J101" s="4">
        <v>0.8</v>
      </c>
      <c r="K101" s="4">
        <v>120</v>
      </c>
      <c r="L101" s="4">
        <v>26</v>
      </c>
      <c r="M101" s="4">
        <v>4400</v>
      </c>
      <c r="N101" s="4" t="s">
        <v>45</v>
      </c>
      <c r="O101" s="4">
        <v>1</v>
      </c>
      <c r="P101" s="4">
        <f t="shared" si="9"/>
        <v>28.644330737215906</v>
      </c>
      <c r="Q101" s="4">
        <v>30</v>
      </c>
      <c r="R101" s="6">
        <f t="shared" si="10"/>
        <v>780</v>
      </c>
    </row>
    <row r="102" spans="2:18">
      <c r="B102" s="50"/>
      <c r="C102" s="46"/>
      <c r="D102" s="4" t="s">
        <v>97</v>
      </c>
      <c r="E102" s="4" t="s">
        <v>28</v>
      </c>
      <c r="F102" s="4">
        <v>150</v>
      </c>
      <c r="G102" s="4">
        <v>16.6129</v>
      </c>
      <c r="H102" s="4">
        <f t="shared" si="11"/>
        <v>1.5433384099999998</v>
      </c>
      <c r="I102" s="4">
        <v>0.8</v>
      </c>
      <c r="J102" s="4">
        <v>0.8</v>
      </c>
      <c r="K102" s="4">
        <v>85</v>
      </c>
      <c r="L102" s="4">
        <v>10</v>
      </c>
      <c r="M102" s="4">
        <v>600</v>
      </c>
      <c r="N102" s="4" t="s">
        <v>47</v>
      </c>
      <c r="O102" s="4">
        <v>1</v>
      </c>
      <c r="P102" s="4">
        <f t="shared" si="9"/>
        <v>0.60286656640624992</v>
      </c>
      <c r="Q102" s="4">
        <v>1</v>
      </c>
      <c r="R102" s="6">
        <f t="shared" si="10"/>
        <v>10</v>
      </c>
    </row>
    <row r="103" spans="2:18">
      <c r="B103" s="50"/>
      <c r="C103" s="46"/>
      <c r="D103" s="4" t="s">
        <v>98</v>
      </c>
      <c r="E103" s="4" t="s">
        <v>28</v>
      </c>
      <c r="F103" s="4">
        <v>150</v>
      </c>
      <c r="G103" s="4">
        <v>28.2256</v>
      </c>
      <c r="H103" s="4">
        <f t="shared" si="11"/>
        <v>2.6221582400000001</v>
      </c>
      <c r="I103" s="4">
        <v>0.8</v>
      </c>
      <c r="J103" s="4">
        <v>0.8</v>
      </c>
      <c r="K103" s="4">
        <v>85</v>
      </c>
      <c r="L103" s="4">
        <v>10</v>
      </c>
      <c r="M103" s="4">
        <v>600</v>
      </c>
      <c r="N103" s="4" t="s">
        <v>47</v>
      </c>
      <c r="O103" s="4">
        <v>1</v>
      </c>
      <c r="P103" s="4">
        <f t="shared" si="9"/>
        <v>1.0242805625</v>
      </c>
      <c r="Q103" s="4">
        <v>1</v>
      </c>
      <c r="R103" s="6">
        <f t="shared" si="10"/>
        <v>10</v>
      </c>
    </row>
    <row r="104" spans="2:18">
      <c r="B104" s="50"/>
      <c r="C104" s="46"/>
      <c r="D104" s="4" t="s">
        <v>99</v>
      </c>
      <c r="E104" s="4" t="s">
        <v>28</v>
      </c>
      <c r="F104" s="4">
        <v>150</v>
      </c>
      <c r="G104" s="4">
        <v>26.0764</v>
      </c>
      <c r="H104" s="4">
        <f t="shared" si="11"/>
        <v>2.42249756</v>
      </c>
      <c r="I104" s="4">
        <v>0.8</v>
      </c>
      <c r="J104" s="4">
        <v>0.8</v>
      </c>
      <c r="K104" s="4">
        <v>85</v>
      </c>
      <c r="L104" s="4">
        <v>10</v>
      </c>
      <c r="M104" s="4">
        <v>600</v>
      </c>
      <c r="N104" s="4" t="s">
        <v>47</v>
      </c>
      <c r="O104" s="4">
        <v>1</v>
      </c>
      <c r="P104" s="4">
        <f t="shared" si="9"/>
        <v>0.94628810937500007</v>
      </c>
      <c r="Q104" s="4">
        <v>1</v>
      </c>
      <c r="R104" s="6">
        <f t="shared" si="10"/>
        <v>10</v>
      </c>
    </row>
    <row r="105" spans="2:18">
      <c r="B105" s="50"/>
      <c r="C105" s="46"/>
      <c r="D105" s="4" t="s">
        <v>73</v>
      </c>
      <c r="E105" s="4" t="s">
        <v>50</v>
      </c>
      <c r="F105" s="4">
        <v>150</v>
      </c>
      <c r="G105" s="4">
        <v>307.8365</v>
      </c>
      <c r="H105" s="4">
        <f t="shared" si="11"/>
        <v>28.598010849999998</v>
      </c>
      <c r="I105" s="4">
        <v>0.8</v>
      </c>
      <c r="J105" s="4">
        <v>0.8</v>
      </c>
      <c r="K105" s="4">
        <v>85</v>
      </c>
      <c r="L105" s="4">
        <v>13</v>
      </c>
      <c r="M105" s="4">
        <v>1100</v>
      </c>
      <c r="N105" s="4" t="s">
        <v>31</v>
      </c>
      <c r="O105" s="4">
        <v>1</v>
      </c>
      <c r="P105" s="4">
        <f t="shared" si="9"/>
        <v>6.0933261754261361</v>
      </c>
      <c r="Q105" s="4">
        <v>6</v>
      </c>
      <c r="R105" s="6">
        <f t="shared" si="10"/>
        <v>78</v>
      </c>
    </row>
    <row r="106" spans="2:18">
      <c r="B106" s="50"/>
      <c r="C106" s="46"/>
      <c r="D106" s="4" t="s">
        <v>52</v>
      </c>
      <c r="E106" s="4" t="s">
        <v>28</v>
      </c>
      <c r="F106" s="4">
        <v>150</v>
      </c>
      <c r="G106" s="4">
        <v>211.3458</v>
      </c>
      <c r="H106" s="4">
        <f t="shared" si="11"/>
        <v>19.63402482</v>
      </c>
      <c r="I106" s="4">
        <v>0.8</v>
      </c>
      <c r="J106" s="4">
        <v>0.8</v>
      </c>
      <c r="K106" s="4">
        <v>100</v>
      </c>
      <c r="L106" s="4">
        <v>25</v>
      </c>
      <c r="M106" s="4">
        <v>2500</v>
      </c>
      <c r="N106" s="4" t="s">
        <v>29</v>
      </c>
      <c r="O106" s="4">
        <v>1</v>
      </c>
      <c r="P106" s="4">
        <f t="shared" si="9"/>
        <v>1.840689826875</v>
      </c>
      <c r="Q106" s="4">
        <v>2</v>
      </c>
      <c r="R106" s="6">
        <f t="shared" si="10"/>
        <v>50</v>
      </c>
    </row>
    <row r="107" spans="2:18">
      <c r="B107" s="50"/>
      <c r="C107" s="46"/>
      <c r="D107" s="4" t="s">
        <v>51</v>
      </c>
      <c r="E107" s="4" t="s">
        <v>50</v>
      </c>
      <c r="F107" s="4">
        <v>150</v>
      </c>
      <c r="G107" s="4">
        <v>265.28910000000002</v>
      </c>
      <c r="H107" s="4">
        <f t="shared" si="11"/>
        <v>24.645357390000001</v>
      </c>
      <c r="I107" s="4">
        <v>0.8</v>
      </c>
      <c r="J107" s="4">
        <v>0.8</v>
      </c>
      <c r="K107" s="4">
        <v>120</v>
      </c>
      <c r="L107" s="4">
        <v>26</v>
      </c>
      <c r="M107" s="4">
        <v>4400</v>
      </c>
      <c r="N107" s="4" t="s">
        <v>45</v>
      </c>
      <c r="O107" s="4">
        <v>1</v>
      </c>
      <c r="P107" s="4">
        <f t="shared" si="9"/>
        <v>1.3127853723366478</v>
      </c>
      <c r="Q107" s="4">
        <v>2</v>
      </c>
      <c r="R107" s="6">
        <f t="shared" si="10"/>
        <v>52</v>
      </c>
    </row>
    <row r="108" spans="2:18">
      <c r="B108" s="50"/>
      <c r="C108" s="46"/>
      <c r="D108" s="4" t="s">
        <v>34</v>
      </c>
      <c r="E108" s="4" t="s">
        <v>28</v>
      </c>
      <c r="F108" s="4">
        <v>50</v>
      </c>
      <c r="G108" s="4">
        <v>23.294899999999998</v>
      </c>
      <c r="H108" s="4">
        <f t="shared" si="11"/>
        <v>2.1640962099999999</v>
      </c>
      <c r="I108" s="4">
        <v>0.8</v>
      </c>
      <c r="J108" s="4">
        <v>0.8</v>
      </c>
      <c r="K108" s="4">
        <v>60</v>
      </c>
      <c r="L108" s="4">
        <v>11</v>
      </c>
      <c r="M108" s="4">
        <v>180</v>
      </c>
      <c r="N108" s="4" t="s">
        <v>35</v>
      </c>
      <c r="O108" s="4">
        <v>1</v>
      </c>
      <c r="P108" s="4">
        <f t="shared" si="9"/>
        <v>0.93927786892361098</v>
      </c>
      <c r="Q108" s="4">
        <v>1</v>
      </c>
      <c r="R108" s="6">
        <f t="shared" si="10"/>
        <v>11</v>
      </c>
    </row>
    <row r="109" spans="2:18">
      <c r="B109" s="50"/>
      <c r="C109" s="46"/>
      <c r="D109" s="4" t="s">
        <v>59</v>
      </c>
      <c r="E109" s="4" t="s">
        <v>28</v>
      </c>
      <c r="F109" s="4">
        <v>150</v>
      </c>
      <c r="G109" s="4">
        <v>79.908699999999996</v>
      </c>
      <c r="H109" s="4">
        <f t="shared" si="11"/>
        <v>7.4235182299999991</v>
      </c>
      <c r="I109" s="4">
        <v>0.8</v>
      </c>
      <c r="J109" s="4">
        <v>0.8</v>
      </c>
      <c r="K109" s="4">
        <v>85</v>
      </c>
      <c r="L109" s="4">
        <v>13</v>
      </c>
      <c r="M109" s="4">
        <v>1100</v>
      </c>
      <c r="N109" s="4" t="s">
        <v>31</v>
      </c>
      <c r="O109" s="4">
        <v>1</v>
      </c>
      <c r="P109" s="4">
        <f t="shared" si="9"/>
        <v>1.5817155319602272</v>
      </c>
      <c r="Q109" s="4">
        <v>2</v>
      </c>
      <c r="R109" s="6">
        <f t="shared" si="10"/>
        <v>26</v>
      </c>
    </row>
    <row r="110" spans="2:18" ht="15" thickBot="1">
      <c r="B110" s="51"/>
      <c r="C110" s="47"/>
      <c r="D110" s="5"/>
      <c r="E110" s="5"/>
      <c r="F110" s="5"/>
      <c r="G110" s="5"/>
      <c r="H110" s="5">
        <f>SUM(H101:H109)</f>
        <v>290.70909010000003</v>
      </c>
      <c r="I110" s="5"/>
      <c r="J110" s="5"/>
      <c r="K110" s="5"/>
      <c r="L110" s="5"/>
      <c r="M110" s="5"/>
      <c r="N110" s="5"/>
      <c r="O110" s="5"/>
      <c r="P110" s="5"/>
      <c r="Q110" s="5"/>
      <c r="R110" s="7"/>
    </row>
    <row r="111" spans="2:18" ht="12.6" customHeight="1"/>
  </sheetData>
  <customSheetViews>
    <customSheetView guid="{23558051-3FCA-4266-B327-5DF2EFFDB670}" scale="55">
      <selection activeCell="B6" sqref="B6:R22"/>
      <pageMargins left="0" right="0" top="0" bottom="0" header="0" footer="0"/>
      <pageSetup paperSize="9" orientation="portrait" r:id="rId1"/>
    </customSheetView>
  </customSheetViews>
  <mergeCells count="15">
    <mergeCell ref="B23:B39"/>
    <mergeCell ref="B40:B59"/>
    <mergeCell ref="B60:B78"/>
    <mergeCell ref="B79:B99"/>
    <mergeCell ref="B12:B20"/>
    <mergeCell ref="C40:C59"/>
    <mergeCell ref="C60:C78"/>
    <mergeCell ref="C79:C99"/>
    <mergeCell ref="C100:C110"/>
    <mergeCell ref="B100:B110"/>
    <mergeCell ref="K6:O6"/>
    <mergeCell ref="H1:O2"/>
    <mergeCell ref="J3:L3"/>
    <mergeCell ref="C12:C20"/>
    <mergeCell ref="C23:C39"/>
  </mergeCells>
  <phoneticPr fontId="4" type="noConversion"/>
  <pageMargins left="0.7" right="0.7" top="0.75" bottom="0.75" header="0.3" footer="0.3"/>
  <pageSetup paperSize="9" scale="50" fitToHeight="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0FCE3-1C5F-4A1E-8430-2EB6BE7035FC}">
  <dimension ref="A1:O79"/>
  <sheetViews>
    <sheetView tabSelected="1" zoomScale="51" zoomScaleNormal="70" workbookViewId="0">
      <selection activeCell="N16" sqref="N16"/>
    </sheetView>
  </sheetViews>
  <sheetFormatPr defaultColWidth="8.85546875" defaultRowHeight="14.45"/>
  <cols>
    <col min="1" max="1" width="22.28515625" style="2" customWidth="1"/>
    <col min="2" max="2" width="8.7109375" style="2" customWidth="1"/>
    <col min="3" max="3" width="13.7109375" style="2" bestFit="1" customWidth="1"/>
    <col min="4" max="4" width="14.85546875" style="2" bestFit="1" customWidth="1"/>
    <col min="5" max="5" width="13.85546875" style="2" bestFit="1" customWidth="1"/>
    <col min="6" max="6" width="21.140625" style="2" bestFit="1" customWidth="1"/>
    <col min="7" max="7" width="7.7109375" style="2" customWidth="1"/>
    <col min="8" max="8" width="12.85546875" style="2" customWidth="1"/>
    <col min="9" max="9" width="12.42578125" style="2" customWidth="1"/>
    <col min="10" max="10" width="23.28515625" style="2" customWidth="1"/>
    <col min="11" max="11" width="27" style="2" customWidth="1"/>
    <col min="12" max="12" width="17.7109375" style="2" customWidth="1"/>
    <col min="13" max="13" width="11.85546875" style="2" customWidth="1"/>
    <col min="14" max="14" width="33.28515625" style="2" bestFit="1" customWidth="1"/>
    <col min="15" max="15" width="21.28515625" style="2" bestFit="1" customWidth="1"/>
    <col min="16" max="16384" width="8.85546875" style="2"/>
  </cols>
  <sheetData>
    <row r="1" spans="1:14" s="33" customFormat="1" ht="261" customHeight="1">
      <c r="A1" s="34" t="s">
        <v>100</v>
      </c>
      <c r="B1" s="34" t="s">
        <v>101</v>
      </c>
      <c r="C1" s="34" t="s">
        <v>102</v>
      </c>
      <c r="D1" s="34" t="s">
        <v>103</v>
      </c>
      <c r="E1" s="34" t="s">
        <v>104</v>
      </c>
      <c r="F1" s="34" t="s">
        <v>105</v>
      </c>
      <c r="G1" s="35" t="s">
        <v>106</v>
      </c>
      <c r="H1" s="34" t="s">
        <v>107</v>
      </c>
      <c r="I1" s="34" t="s">
        <v>108</v>
      </c>
      <c r="J1" s="34" t="s">
        <v>109</v>
      </c>
      <c r="K1" s="34" t="s">
        <v>110</v>
      </c>
      <c r="L1" s="34" t="s">
        <v>111</v>
      </c>
      <c r="M1" s="34" t="s">
        <v>112</v>
      </c>
    </row>
    <row r="2" spans="1:14">
      <c r="A2" s="52" t="s">
        <v>113</v>
      </c>
      <c r="B2" s="52" t="s">
        <v>114</v>
      </c>
      <c r="C2" s="52">
        <v>11</v>
      </c>
      <c r="D2" s="52">
        <v>500</v>
      </c>
      <c r="E2" s="52">
        <v>0</v>
      </c>
      <c r="F2" s="52">
        <v>0</v>
      </c>
      <c r="G2" s="52">
        <f>C2*D2</f>
        <v>5500</v>
      </c>
      <c r="H2" s="52">
        <f>E2*F2</f>
        <v>0</v>
      </c>
      <c r="I2" s="52">
        <f>G2+H2</f>
        <v>5500</v>
      </c>
      <c r="J2" s="52">
        <f>IF(I2&gt;6000,(I2*0.75)/(1.732*400*0.8),(I2*0.75)/(230*0.8))</f>
        <v>22.418478260869566</v>
      </c>
      <c r="K2" s="52" t="s">
        <v>115</v>
      </c>
      <c r="L2" s="52">
        <f>(I12*0.75)/(1.732*400*0.8)</f>
        <v>18.559198181293301</v>
      </c>
      <c r="M2" s="52" t="s">
        <v>116</v>
      </c>
    </row>
    <row r="3" spans="1:14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14">
      <c r="A4" s="52"/>
      <c r="B4" s="52" t="s">
        <v>117</v>
      </c>
      <c r="C4" s="52">
        <v>4</v>
      </c>
      <c r="D4" s="52">
        <v>500</v>
      </c>
      <c r="E4" s="10">
        <v>2</v>
      </c>
      <c r="F4" s="10">
        <v>13</v>
      </c>
      <c r="G4" s="52">
        <f t="shared" ref="G4:G11" si="0">C4*D4</f>
        <v>2000</v>
      </c>
      <c r="H4" s="52">
        <f>(E4*F4)+(E5*F5)+(E6*F6)+(E7*F7)</f>
        <v>609</v>
      </c>
      <c r="I4" s="52">
        <f t="shared" ref="I4:I11" si="1">G4+H4</f>
        <v>2609</v>
      </c>
      <c r="J4" s="52">
        <f t="shared" ref="J4:J11" si="2">IF(I4&gt;6000,(I4*0.75)/(1.732*400*0.8),(I4*0.75)/(230*0.8))</f>
        <v>10.634510869565217</v>
      </c>
      <c r="K4" s="52" t="s">
        <v>118</v>
      </c>
      <c r="L4" s="52"/>
      <c r="M4" s="52"/>
    </row>
    <row r="5" spans="1:14">
      <c r="A5" s="52"/>
      <c r="B5" s="52"/>
      <c r="C5" s="52"/>
      <c r="D5" s="52"/>
      <c r="E5" s="10">
        <v>2</v>
      </c>
      <c r="F5" s="10">
        <v>10</v>
      </c>
      <c r="G5" s="52"/>
      <c r="H5" s="52"/>
      <c r="I5" s="52"/>
      <c r="J5" s="52"/>
      <c r="K5" s="52"/>
      <c r="L5" s="52"/>
      <c r="M5" s="52"/>
    </row>
    <row r="6" spans="1:14">
      <c r="A6" s="52"/>
      <c r="B6" s="52"/>
      <c r="C6" s="52"/>
      <c r="D6" s="52"/>
      <c r="E6" s="10">
        <v>15</v>
      </c>
      <c r="F6" s="10">
        <v>36</v>
      </c>
      <c r="G6" s="52"/>
      <c r="H6" s="52"/>
      <c r="I6" s="52"/>
      <c r="J6" s="52"/>
      <c r="K6" s="52"/>
      <c r="L6" s="52"/>
      <c r="M6" s="52"/>
    </row>
    <row r="7" spans="1:14">
      <c r="A7" s="52"/>
      <c r="B7" s="52"/>
      <c r="C7" s="52"/>
      <c r="D7" s="52"/>
      <c r="E7" s="10">
        <v>1</v>
      </c>
      <c r="F7" s="10">
        <v>23</v>
      </c>
      <c r="G7" s="52"/>
      <c r="H7" s="52"/>
      <c r="I7" s="52"/>
      <c r="J7" s="52"/>
      <c r="K7" s="52"/>
      <c r="L7" s="52"/>
      <c r="M7" s="52"/>
    </row>
    <row r="8" spans="1:14">
      <c r="A8" s="52"/>
      <c r="B8" s="55" t="s">
        <v>119</v>
      </c>
      <c r="C8" s="55">
        <v>10</v>
      </c>
      <c r="D8" s="55">
        <v>500</v>
      </c>
      <c r="E8" s="10">
        <v>1</v>
      </c>
      <c r="F8" s="10">
        <v>11</v>
      </c>
      <c r="G8" s="55">
        <f t="shared" si="0"/>
        <v>5000</v>
      </c>
      <c r="H8" s="55">
        <v>106</v>
      </c>
      <c r="I8" s="55">
        <f t="shared" si="1"/>
        <v>5106</v>
      </c>
      <c r="J8" s="55">
        <f t="shared" si="2"/>
        <v>20.8125</v>
      </c>
      <c r="K8" s="52" t="s">
        <v>115</v>
      </c>
      <c r="L8" s="52"/>
      <c r="M8" s="52"/>
    </row>
    <row r="9" spans="1:14">
      <c r="A9" s="52"/>
      <c r="B9" s="55"/>
      <c r="C9" s="55"/>
      <c r="D9" s="55"/>
      <c r="E9" s="10">
        <v>1</v>
      </c>
      <c r="F9" s="10">
        <v>45</v>
      </c>
      <c r="G9" s="55"/>
      <c r="H9" s="55"/>
      <c r="I9" s="55"/>
      <c r="J9" s="55"/>
      <c r="K9" s="52"/>
      <c r="L9" s="52"/>
      <c r="M9" s="52"/>
    </row>
    <row r="10" spans="1:14">
      <c r="A10" s="52"/>
      <c r="B10" s="55"/>
      <c r="C10" s="55"/>
      <c r="D10" s="55"/>
      <c r="E10" s="10">
        <v>2</v>
      </c>
      <c r="F10" s="10">
        <v>25</v>
      </c>
      <c r="G10" s="55"/>
      <c r="H10" s="55"/>
      <c r="I10" s="55"/>
      <c r="J10" s="55"/>
      <c r="K10" s="52"/>
      <c r="L10" s="52"/>
      <c r="M10" s="52"/>
    </row>
    <row r="11" spans="1:14">
      <c r="A11" s="52"/>
      <c r="B11" s="10" t="s">
        <v>120</v>
      </c>
      <c r="C11" s="10">
        <v>1</v>
      </c>
      <c r="D11" s="10">
        <v>500</v>
      </c>
      <c r="E11" s="10">
        <v>0</v>
      </c>
      <c r="F11" s="10">
        <v>0</v>
      </c>
      <c r="G11" s="10">
        <f t="shared" si="0"/>
        <v>500</v>
      </c>
      <c r="H11" s="10">
        <v>0</v>
      </c>
      <c r="I11" s="10">
        <f t="shared" si="1"/>
        <v>500</v>
      </c>
      <c r="J11" s="10">
        <f t="shared" si="2"/>
        <v>2.0380434782608696</v>
      </c>
      <c r="K11" s="10" t="s">
        <v>121</v>
      </c>
      <c r="L11" s="52"/>
      <c r="M11" s="52"/>
    </row>
    <row r="12" spans="1:14">
      <c r="A12" s="54" t="s">
        <v>122</v>
      </c>
      <c r="B12" s="54"/>
      <c r="C12" s="54"/>
      <c r="D12" s="54"/>
      <c r="E12" s="54"/>
      <c r="F12" s="54"/>
      <c r="G12" s="54"/>
      <c r="H12" s="54"/>
      <c r="I12" s="56">
        <f>SUM(I2:I11)</f>
        <v>13715</v>
      </c>
      <c r="J12" s="56"/>
      <c r="K12" s="56"/>
      <c r="L12" s="56"/>
      <c r="M12" s="56"/>
    </row>
    <row r="13" spans="1:14">
      <c r="B13" s="13"/>
    </row>
    <row r="15" spans="1:14">
      <c r="K15" s="16" t="s">
        <v>123</v>
      </c>
      <c r="L15" s="2">
        <f>(I12+K31+K45+K57+K71+K79)*0.75/(1.732*400*0.8)</f>
        <v>299.39647084295609</v>
      </c>
      <c r="M15" s="2" t="s">
        <v>124</v>
      </c>
    </row>
    <row r="16" spans="1:14">
      <c r="N16" s="2">
        <f>14000+9000+1492+I12+K31+K45+K57+K71+K79</f>
        <v>245742</v>
      </c>
    </row>
    <row r="17" spans="1:15">
      <c r="N17" s="2">
        <f>N16/0.8</f>
        <v>307177.5</v>
      </c>
    </row>
    <row r="19" spans="1:15" ht="247.15" customHeight="1">
      <c r="A19" s="34" t="s">
        <v>100</v>
      </c>
      <c r="B19" s="34" t="s">
        <v>101</v>
      </c>
      <c r="C19" s="34" t="s">
        <v>102</v>
      </c>
      <c r="D19" s="34" t="s">
        <v>103</v>
      </c>
      <c r="E19" s="34" t="s">
        <v>125</v>
      </c>
      <c r="F19" s="34" t="s">
        <v>126</v>
      </c>
      <c r="G19" s="34" t="s">
        <v>104</v>
      </c>
      <c r="H19" s="34" t="s">
        <v>105</v>
      </c>
      <c r="I19" s="34" t="s">
        <v>107</v>
      </c>
      <c r="J19" s="35" t="s">
        <v>106</v>
      </c>
      <c r="K19" s="34" t="s">
        <v>108</v>
      </c>
      <c r="L19" s="34" t="s">
        <v>127</v>
      </c>
      <c r="M19" s="34" t="s">
        <v>128</v>
      </c>
      <c r="N19" s="34" t="s">
        <v>111</v>
      </c>
      <c r="O19" s="34" t="s">
        <v>112</v>
      </c>
    </row>
    <row r="20" spans="1:15">
      <c r="A20" s="52" t="s">
        <v>42</v>
      </c>
      <c r="B20" s="52" t="s">
        <v>129</v>
      </c>
      <c r="C20" s="52">
        <v>23</v>
      </c>
      <c r="D20" s="52">
        <v>500</v>
      </c>
      <c r="E20" s="52">
        <v>3</v>
      </c>
      <c r="F20" s="52">
        <v>1250</v>
      </c>
      <c r="G20" s="10">
        <v>19</v>
      </c>
      <c r="H20" s="10">
        <v>26</v>
      </c>
      <c r="I20" s="52">
        <v>647</v>
      </c>
      <c r="J20" s="52">
        <f>(C20*D20)+(E20*F20)</f>
        <v>15250</v>
      </c>
      <c r="K20" s="52">
        <f>I20+J20</f>
        <v>15897</v>
      </c>
      <c r="L20" s="52">
        <f>IF(K20&gt;6000,(K20*0.75)/(1.732*400*0.8),(K20*0.75)/(230*0.8))</f>
        <v>21.511890155889144</v>
      </c>
      <c r="M20" s="52" t="s">
        <v>130</v>
      </c>
      <c r="N20" s="52">
        <f>(K31*0.75)/(1.732*400*0.8)</f>
        <v>50.115924509237871</v>
      </c>
      <c r="O20" s="52" t="s">
        <v>131</v>
      </c>
    </row>
    <row r="21" spans="1:15">
      <c r="A21" s="52"/>
      <c r="B21" s="52"/>
      <c r="C21" s="52"/>
      <c r="D21" s="52"/>
      <c r="E21" s="52"/>
      <c r="F21" s="52"/>
      <c r="G21" s="10">
        <v>1</v>
      </c>
      <c r="H21" s="10">
        <v>10</v>
      </c>
      <c r="I21" s="52"/>
      <c r="J21" s="52"/>
      <c r="K21" s="52"/>
      <c r="L21" s="52"/>
      <c r="M21" s="52"/>
      <c r="N21" s="52"/>
      <c r="O21" s="52"/>
    </row>
    <row r="22" spans="1:15">
      <c r="A22" s="52"/>
      <c r="B22" s="52"/>
      <c r="C22" s="52"/>
      <c r="D22" s="52"/>
      <c r="E22" s="52"/>
      <c r="F22" s="52"/>
      <c r="G22" s="10">
        <v>3</v>
      </c>
      <c r="H22" s="10">
        <v>13</v>
      </c>
      <c r="I22" s="52"/>
      <c r="J22" s="52"/>
      <c r="K22" s="52"/>
      <c r="L22" s="52"/>
      <c r="M22" s="52"/>
      <c r="N22" s="52"/>
      <c r="O22" s="52"/>
    </row>
    <row r="23" spans="1:15">
      <c r="A23" s="52"/>
      <c r="B23" s="52"/>
      <c r="C23" s="52"/>
      <c r="D23" s="52"/>
      <c r="E23" s="52"/>
      <c r="F23" s="52"/>
      <c r="G23" s="10">
        <v>2</v>
      </c>
      <c r="H23" s="10">
        <v>13</v>
      </c>
      <c r="I23" s="52"/>
      <c r="J23" s="52"/>
      <c r="K23" s="52"/>
      <c r="L23" s="52"/>
      <c r="M23" s="52"/>
      <c r="N23" s="52"/>
      <c r="O23" s="52"/>
    </row>
    <row r="24" spans="1:15">
      <c r="A24" s="52"/>
      <c r="B24" s="52"/>
      <c r="C24" s="52"/>
      <c r="D24" s="52"/>
      <c r="E24" s="52"/>
      <c r="F24" s="52"/>
      <c r="G24" s="10">
        <v>3</v>
      </c>
      <c r="H24" s="10">
        <v>26</v>
      </c>
      <c r="I24" s="52"/>
      <c r="J24" s="52"/>
      <c r="K24" s="52"/>
      <c r="L24" s="52"/>
      <c r="M24" s="52"/>
      <c r="N24" s="52"/>
      <c r="O24" s="52"/>
    </row>
    <row r="25" spans="1:15">
      <c r="A25" s="52"/>
      <c r="B25" s="10" t="s">
        <v>117</v>
      </c>
      <c r="C25" s="10">
        <v>20</v>
      </c>
      <c r="D25" s="10">
        <v>500</v>
      </c>
      <c r="E25" s="10">
        <v>1</v>
      </c>
      <c r="F25" s="10">
        <v>1250</v>
      </c>
      <c r="G25" s="10">
        <v>10</v>
      </c>
      <c r="H25" s="10">
        <v>26</v>
      </c>
      <c r="I25" s="10">
        <v>260</v>
      </c>
      <c r="J25" s="10">
        <f t="shared" ref="J25:J26" si="3">(C25*D25)+(E25*F25)</f>
        <v>11250</v>
      </c>
      <c r="K25" s="10">
        <f t="shared" ref="K25:K30" si="4">I25+J25</f>
        <v>11510</v>
      </c>
      <c r="L25" s="12">
        <f t="shared" ref="L25:L78" si="5">IF(K25&gt;6000,(K25*0.75)/(1.732*400*0.8),(K25*0.75)/(230*0.8))</f>
        <v>15.575382505773671</v>
      </c>
      <c r="M25" s="12" t="s">
        <v>132</v>
      </c>
      <c r="N25" s="52"/>
      <c r="O25" s="52"/>
    </row>
    <row r="26" spans="1:15">
      <c r="A26" s="52"/>
      <c r="B26" s="52" t="s">
        <v>119</v>
      </c>
      <c r="C26" s="52">
        <v>13</v>
      </c>
      <c r="D26" s="52">
        <v>500</v>
      </c>
      <c r="E26" s="52">
        <v>0</v>
      </c>
      <c r="F26" s="52">
        <v>1250</v>
      </c>
      <c r="G26" s="10">
        <v>21</v>
      </c>
      <c r="H26" s="10">
        <v>26</v>
      </c>
      <c r="I26" s="52">
        <v>628</v>
      </c>
      <c r="J26" s="52">
        <f t="shared" si="3"/>
        <v>6500</v>
      </c>
      <c r="K26" s="52">
        <f t="shared" si="4"/>
        <v>7128</v>
      </c>
      <c r="L26" s="52">
        <f t="shared" si="5"/>
        <v>9.6456408775981526</v>
      </c>
      <c r="M26" s="52" t="s">
        <v>132</v>
      </c>
      <c r="N26" s="52"/>
      <c r="O26" s="52"/>
    </row>
    <row r="27" spans="1:15">
      <c r="A27" s="52"/>
      <c r="B27" s="52"/>
      <c r="C27" s="52"/>
      <c r="D27" s="52"/>
      <c r="E27" s="52"/>
      <c r="F27" s="52"/>
      <c r="G27" s="10">
        <v>2</v>
      </c>
      <c r="H27" s="10">
        <v>25</v>
      </c>
      <c r="I27" s="52"/>
      <c r="J27" s="52"/>
      <c r="K27" s="52"/>
      <c r="L27" s="52"/>
      <c r="M27" s="52"/>
      <c r="N27" s="52"/>
      <c r="O27" s="52"/>
    </row>
    <row r="28" spans="1:15">
      <c r="A28" s="52"/>
      <c r="B28" s="52"/>
      <c r="C28" s="52"/>
      <c r="D28" s="52"/>
      <c r="E28" s="52"/>
      <c r="F28" s="52"/>
      <c r="G28" s="10">
        <v>2</v>
      </c>
      <c r="H28" s="10">
        <v>11</v>
      </c>
      <c r="I28" s="52"/>
      <c r="J28" s="52"/>
      <c r="K28" s="52"/>
      <c r="L28" s="52"/>
      <c r="M28" s="52"/>
      <c r="N28" s="52"/>
      <c r="O28" s="52"/>
    </row>
    <row r="29" spans="1:15">
      <c r="A29" s="52"/>
      <c r="B29" s="52"/>
      <c r="C29" s="52"/>
      <c r="D29" s="52"/>
      <c r="E29" s="52"/>
      <c r="F29" s="52"/>
      <c r="G29" s="10">
        <v>1</v>
      </c>
      <c r="H29" s="10">
        <v>10</v>
      </c>
      <c r="I29" s="52"/>
      <c r="J29" s="52"/>
      <c r="K29" s="52"/>
      <c r="L29" s="52"/>
      <c r="M29" s="52"/>
      <c r="N29" s="52"/>
      <c r="O29" s="52"/>
    </row>
    <row r="30" spans="1:15">
      <c r="A30" s="52"/>
      <c r="B30" s="15" t="s">
        <v>133</v>
      </c>
      <c r="C30" s="10">
        <v>5</v>
      </c>
      <c r="D30" s="10">
        <v>500</v>
      </c>
      <c r="E30" s="10">
        <v>0</v>
      </c>
      <c r="F30" s="10">
        <v>1250</v>
      </c>
      <c r="G30" s="10">
        <v>0</v>
      </c>
      <c r="H30" s="10">
        <v>0</v>
      </c>
      <c r="I30" s="10">
        <v>0</v>
      </c>
      <c r="J30" s="10">
        <f>(C30*D30)+(E30*F30)</f>
        <v>2500</v>
      </c>
      <c r="K30" s="10">
        <f t="shared" si="4"/>
        <v>2500</v>
      </c>
      <c r="L30" s="12">
        <f t="shared" si="5"/>
        <v>10.190217391304348</v>
      </c>
      <c r="M30" s="12" t="s">
        <v>121</v>
      </c>
      <c r="N30" s="52"/>
      <c r="O30" s="52"/>
    </row>
    <row r="31" spans="1:15">
      <c r="A31" s="54" t="s">
        <v>122</v>
      </c>
      <c r="B31" s="54"/>
      <c r="C31" s="54"/>
      <c r="D31" s="54"/>
      <c r="E31" s="54"/>
      <c r="F31" s="54"/>
      <c r="G31" s="54"/>
      <c r="H31" s="54"/>
      <c r="I31" s="54"/>
      <c r="J31" s="54"/>
      <c r="K31" s="56">
        <f>SUM(K20:K30)</f>
        <v>37035</v>
      </c>
      <c r="L31" s="56"/>
      <c r="M31" s="56"/>
      <c r="N31" s="56"/>
      <c r="O31" s="56"/>
    </row>
    <row r="32" spans="1:15">
      <c r="L32" s="14"/>
      <c r="M32" s="14"/>
    </row>
    <row r="33" spans="1:15">
      <c r="L33" s="14"/>
      <c r="M33" s="14"/>
    </row>
    <row r="34" spans="1:15" ht="175.9" customHeight="1">
      <c r="A34" s="34" t="s">
        <v>100</v>
      </c>
      <c r="B34" s="34" t="s">
        <v>101</v>
      </c>
      <c r="C34" s="34" t="s">
        <v>102</v>
      </c>
      <c r="D34" s="34" t="s">
        <v>103</v>
      </c>
      <c r="E34" s="34" t="s">
        <v>125</v>
      </c>
      <c r="F34" s="34" t="s">
        <v>126</v>
      </c>
      <c r="G34" s="34" t="s">
        <v>104</v>
      </c>
      <c r="H34" s="34" t="s">
        <v>105</v>
      </c>
      <c r="I34" s="34" t="s">
        <v>107</v>
      </c>
      <c r="J34" s="35" t="s">
        <v>106</v>
      </c>
      <c r="K34" s="34" t="s">
        <v>108</v>
      </c>
      <c r="L34" s="34" t="s">
        <v>127</v>
      </c>
      <c r="M34" s="34" t="s">
        <v>128</v>
      </c>
      <c r="N34" s="32" t="s">
        <v>111</v>
      </c>
      <c r="O34" s="32" t="s">
        <v>112</v>
      </c>
    </row>
    <row r="35" spans="1:15">
      <c r="A35" s="52" t="s">
        <v>134</v>
      </c>
      <c r="B35" s="52" t="s">
        <v>114</v>
      </c>
      <c r="C35" s="52">
        <v>40</v>
      </c>
      <c r="D35" s="52">
        <v>500</v>
      </c>
      <c r="E35" s="52">
        <v>1</v>
      </c>
      <c r="F35" s="52">
        <v>1250</v>
      </c>
      <c r="G35" s="12">
        <v>21</v>
      </c>
      <c r="H35" s="12">
        <v>26</v>
      </c>
      <c r="I35" s="52">
        <v>730</v>
      </c>
      <c r="J35" s="52">
        <f>(C35*D35)+(E35*F35)</f>
        <v>21250</v>
      </c>
      <c r="K35" s="52">
        <f>I35+J35</f>
        <v>21980</v>
      </c>
      <c r="L35" s="52">
        <f t="shared" si="5"/>
        <v>29.743432448036952</v>
      </c>
      <c r="M35" s="52" t="s">
        <v>130</v>
      </c>
      <c r="N35" s="52">
        <f>(K45*0.75)/(1.732*400*0.8)</f>
        <v>53.313546478060047</v>
      </c>
      <c r="O35" s="52" t="s">
        <v>131</v>
      </c>
    </row>
    <row r="36" spans="1:15">
      <c r="A36" s="52"/>
      <c r="B36" s="52"/>
      <c r="C36" s="52"/>
      <c r="D36" s="52"/>
      <c r="E36" s="52"/>
      <c r="F36" s="52"/>
      <c r="G36" s="12">
        <v>3</v>
      </c>
      <c r="H36" s="12">
        <v>10</v>
      </c>
      <c r="I36" s="52"/>
      <c r="J36" s="52"/>
      <c r="K36" s="52"/>
      <c r="L36" s="52"/>
      <c r="M36" s="52"/>
      <c r="N36" s="52"/>
      <c r="O36" s="52"/>
    </row>
    <row r="37" spans="1:15">
      <c r="A37" s="52"/>
      <c r="B37" s="52"/>
      <c r="C37" s="52"/>
      <c r="D37" s="52"/>
      <c r="E37" s="52"/>
      <c r="F37" s="52"/>
      <c r="G37" s="12">
        <v>8</v>
      </c>
      <c r="H37" s="12">
        <v>13</v>
      </c>
      <c r="I37" s="52"/>
      <c r="J37" s="52"/>
      <c r="K37" s="52"/>
      <c r="L37" s="52"/>
      <c r="M37" s="52"/>
      <c r="N37" s="52"/>
      <c r="O37" s="52"/>
    </row>
    <row r="38" spans="1:15">
      <c r="A38" s="52"/>
      <c r="B38" s="52"/>
      <c r="C38" s="52"/>
      <c r="D38" s="52"/>
      <c r="E38" s="52"/>
      <c r="F38" s="52"/>
      <c r="G38" s="12">
        <v>2</v>
      </c>
      <c r="H38" s="12">
        <v>25</v>
      </c>
      <c r="I38" s="52"/>
      <c r="J38" s="52"/>
      <c r="K38" s="52"/>
      <c r="L38" s="52"/>
      <c r="M38" s="52"/>
      <c r="N38" s="52"/>
      <c r="O38" s="52"/>
    </row>
    <row r="39" spans="1:15">
      <c r="A39" s="52"/>
      <c r="B39" s="52"/>
      <c r="C39" s="52">
        <v>15</v>
      </c>
      <c r="D39" s="52">
        <v>500</v>
      </c>
      <c r="E39" s="52">
        <v>4</v>
      </c>
      <c r="F39" s="52">
        <v>1250</v>
      </c>
      <c r="G39" s="12">
        <v>28</v>
      </c>
      <c r="H39" s="12">
        <v>26</v>
      </c>
      <c r="I39" s="52">
        <v>800</v>
      </c>
      <c r="J39" s="52">
        <f t="shared" ref="J39:J68" si="6">(C39*D39)+(E39*F39)</f>
        <v>12500</v>
      </c>
      <c r="K39" s="52">
        <f t="shared" ref="K39:K44" si="7">I39+J39</f>
        <v>13300</v>
      </c>
      <c r="L39" s="52">
        <f t="shared" si="5"/>
        <v>17.997618360277137</v>
      </c>
      <c r="M39" s="52" t="s">
        <v>132</v>
      </c>
      <c r="N39" s="52"/>
      <c r="O39" s="52"/>
    </row>
    <row r="40" spans="1:15">
      <c r="A40" s="52"/>
      <c r="B40" s="52"/>
      <c r="C40" s="52"/>
      <c r="D40" s="52"/>
      <c r="E40" s="52"/>
      <c r="F40" s="52"/>
      <c r="G40" s="12">
        <v>2</v>
      </c>
      <c r="H40" s="12">
        <v>11</v>
      </c>
      <c r="I40" s="52"/>
      <c r="J40" s="52"/>
      <c r="K40" s="52"/>
      <c r="L40" s="52"/>
      <c r="M40" s="52"/>
      <c r="N40" s="52"/>
      <c r="O40" s="52"/>
    </row>
    <row r="41" spans="1:15">
      <c r="A41" s="52"/>
      <c r="B41" s="52"/>
      <c r="C41" s="52"/>
      <c r="D41" s="52"/>
      <c r="E41" s="52"/>
      <c r="F41" s="52"/>
      <c r="G41" s="12">
        <v>2</v>
      </c>
      <c r="H41" s="12">
        <v>25</v>
      </c>
      <c r="I41" s="52"/>
      <c r="J41" s="52"/>
      <c r="K41" s="52"/>
      <c r="L41" s="52"/>
      <c r="M41" s="52"/>
      <c r="N41" s="52"/>
      <c r="O41" s="52"/>
    </row>
    <row r="42" spans="1:15">
      <c r="A42" s="52"/>
      <c r="B42" s="52" t="s">
        <v>119</v>
      </c>
      <c r="C42" s="52">
        <v>7</v>
      </c>
      <c r="D42" s="52">
        <v>500</v>
      </c>
      <c r="E42" s="52">
        <v>0</v>
      </c>
      <c r="F42" s="52">
        <v>1250</v>
      </c>
      <c r="G42" s="12">
        <v>3</v>
      </c>
      <c r="H42" s="12">
        <v>10</v>
      </c>
      <c r="I42" s="52">
        <v>108</v>
      </c>
      <c r="J42" s="52">
        <f t="shared" si="6"/>
        <v>3500</v>
      </c>
      <c r="K42" s="52">
        <f t="shared" si="7"/>
        <v>3608</v>
      </c>
      <c r="L42" s="52">
        <f t="shared" si="5"/>
        <v>14.706521739130435</v>
      </c>
      <c r="M42" s="52" t="s">
        <v>118</v>
      </c>
      <c r="N42" s="52"/>
      <c r="O42" s="52"/>
    </row>
    <row r="43" spans="1:15">
      <c r="A43" s="52"/>
      <c r="B43" s="52"/>
      <c r="C43" s="52"/>
      <c r="D43" s="52"/>
      <c r="E43" s="52"/>
      <c r="F43" s="52"/>
      <c r="G43" s="12">
        <v>6</v>
      </c>
      <c r="H43" s="12">
        <v>13</v>
      </c>
      <c r="I43" s="52"/>
      <c r="J43" s="52"/>
      <c r="K43" s="52"/>
      <c r="L43" s="52"/>
      <c r="M43" s="52"/>
      <c r="N43" s="52"/>
      <c r="O43" s="52"/>
    </row>
    <row r="44" spans="1:15">
      <c r="A44" s="52"/>
      <c r="B44" s="12" t="s">
        <v>135</v>
      </c>
      <c r="C44" s="12">
        <v>1</v>
      </c>
      <c r="D44" s="12">
        <v>500</v>
      </c>
      <c r="E44" s="12">
        <v>0</v>
      </c>
      <c r="F44" s="12">
        <v>1250</v>
      </c>
      <c r="G44" s="12">
        <v>1</v>
      </c>
      <c r="H44" s="12">
        <v>10</v>
      </c>
      <c r="I44" s="12">
        <v>10</v>
      </c>
      <c r="J44" s="12">
        <f t="shared" si="6"/>
        <v>500</v>
      </c>
      <c r="K44" s="12">
        <f t="shared" si="7"/>
        <v>510</v>
      </c>
      <c r="L44" s="12">
        <f t="shared" si="5"/>
        <v>2.0788043478260869</v>
      </c>
      <c r="M44" s="12" t="s">
        <v>121</v>
      </c>
      <c r="N44" s="52"/>
      <c r="O44" s="52"/>
    </row>
    <row r="45" spans="1:15">
      <c r="A45" s="54" t="s">
        <v>122</v>
      </c>
      <c r="B45" s="54"/>
      <c r="C45" s="54"/>
      <c r="D45" s="54"/>
      <c r="E45" s="54"/>
      <c r="F45" s="54"/>
      <c r="G45" s="54"/>
      <c r="H45" s="54"/>
      <c r="I45" s="54"/>
      <c r="J45" s="54"/>
      <c r="K45" s="56">
        <f>SUM(K35:K44)</f>
        <v>39398</v>
      </c>
      <c r="L45" s="56"/>
      <c r="M45" s="56"/>
      <c r="N45" s="56"/>
      <c r="O45" s="56"/>
    </row>
    <row r="46" spans="1:15">
      <c r="L46" s="14"/>
      <c r="M46" s="14"/>
    </row>
    <row r="47" spans="1:15">
      <c r="L47" s="14"/>
      <c r="M47" s="14"/>
    </row>
    <row r="48" spans="1:15">
      <c r="A48" s="10" t="s">
        <v>100</v>
      </c>
      <c r="B48" s="10" t="s">
        <v>101</v>
      </c>
      <c r="C48" s="10" t="s">
        <v>102</v>
      </c>
      <c r="D48" s="10" t="s">
        <v>103</v>
      </c>
      <c r="E48" s="10" t="s">
        <v>125</v>
      </c>
      <c r="F48" s="10" t="s">
        <v>126</v>
      </c>
      <c r="G48" s="10" t="s">
        <v>104</v>
      </c>
      <c r="H48" s="10" t="s">
        <v>105</v>
      </c>
      <c r="I48" s="10" t="s">
        <v>107</v>
      </c>
      <c r="J48" s="11" t="s">
        <v>106</v>
      </c>
      <c r="K48" s="10" t="s">
        <v>108</v>
      </c>
      <c r="L48" s="12" t="s">
        <v>127</v>
      </c>
      <c r="M48" s="12" t="s">
        <v>128</v>
      </c>
      <c r="N48" s="10" t="s">
        <v>111</v>
      </c>
      <c r="O48" s="10" t="s">
        <v>112</v>
      </c>
    </row>
    <row r="49" spans="1:15">
      <c r="A49" s="52" t="s">
        <v>136</v>
      </c>
      <c r="B49" s="52" t="s">
        <v>114</v>
      </c>
      <c r="C49" s="52">
        <v>41</v>
      </c>
      <c r="D49" s="52">
        <v>500</v>
      </c>
      <c r="E49" s="52">
        <v>0</v>
      </c>
      <c r="F49" s="52">
        <v>1250</v>
      </c>
      <c r="G49" s="12">
        <v>26</v>
      </c>
      <c r="H49" s="12">
        <v>31</v>
      </c>
      <c r="I49" s="52">
        <v>990</v>
      </c>
      <c r="J49" s="52">
        <f t="shared" si="6"/>
        <v>20500</v>
      </c>
      <c r="K49" s="52">
        <f>J49+I49</f>
        <v>21490</v>
      </c>
      <c r="L49" s="52">
        <f t="shared" si="5"/>
        <v>29.080362297921479</v>
      </c>
      <c r="M49" s="52" t="s">
        <v>130</v>
      </c>
      <c r="N49" s="52">
        <f>(K57*0.75)/(1.732*400*0.8)</f>
        <v>49.764091368360276</v>
      </c>
      <c r="O49" s="52" t="s">
        <v>131</v>
      </c>
    </row>
    <row r="50" spans="1:15">
      <c r="A50" s="52"/>
      <c r="B50" s="52"/>
      <c r="C50" s="52"/>
      <c r="D50" s="52"/>
      <c r="E50" s="52"/>
      <c r="F50" s="52"/>
      <c r="G50" s="12">
        <v>3</v>
      </c>
      <c r="H50" s="12">
        <v>10</v>
      </c>
      <c r="I50" s="52"/>
      <c r="J50" s="52"/>
      <c r="K50" s="52"/>
      <c r="L50" s="52"/>
      <c r="M50" s="52"/>
      <c r="N50" s="52"/>
      <c r="O50" s="52"/>
    </row>
    <row r="51" spans="1:15">
      <c r="A51" s="52"/>
      <c r="B51" s="52"/>
      <c r="C51" s="52"/>
      <c r="D51" s="52"/>
      <c r="E51" s="52"/>
      <c r="F51" s="52"/>
      <c r="G51" s="12">
        <v>6</v>
      </c>
      <c r="H51" s="12">
        <v>13</v>
      </c>
      <c r="I51" s="52"/>
      <c r="J51" s="52"/>
      <c r="K51" s="52"/>
      <c r="L51" s="52"/>
      <c r="M51" s="52"/>
      <c r="N51" s="52"/>
      <c r="O51" s="52"/>
    </row>
    <row r="52" spans="1:15">
      <c r="A52" s="52"/>
      <c r="B52" s="52"/>
      <c r="C52" s="52"/>
      <c r="D52" s="52"/>
      <c r="E52" s="52"/>
      <c r="F52" s="52"/>
      <c r="G52" s="12">
        <v>2</v>
      </c>
      <c r="H52" s="12">
        <v>13</v>
      </c>
      <c r="I52" s="52"/>
      <c r="J52" s="52"/>
      <c r="K52" s="52"/>
      <c r="L52" s="52"/>
      <c r="M52" s="52"/>
      <c r="N52" s="52"/>
      <c r="O52" s="52"/>
    </row>
    <row r="53" spans="1:15">
      <c r="A53" s="52"/>
      <c r="B53" s="52"/>
      <c r="C53" s="52"/>
      <c r="D53" s="52"/>
      <c r="E53" s="52"/>
      <c r="F53" s="52"/>
      <c r="G53" s="12">
        <v>2</v>
      </c>
      <c r="H53" s="12">
        <v>25</v>
      </c>
      <c r="I53" s="52"/>
      <c r="J53" s="52"/>
      <c r="K53" s="52"/>
      <c r="L53" s="52"/>
      <c r="M53" s="52"/>
      <c r="N53" s="52"/>
      <c r="O53" s="52"/>
    </row>
    <row r="54" spans="1:15">
      <c r="A54" s="52"/>
      <c r="B54" s="52" t="s">
        <v>117</v>
      </c>
      <c r="C54" s="52">
        <v>21</v>
      </c>
      <c r="D54" s="52">
        <v>500</v>
      </c>
      <c r="E54" s="52">
        <v>3</v>
      </c>
      <c r="F54" s="52">
        <v>1250</v>
      </c>
      <c r="G54" s="12">
        <v>19</v>
      </c>
      <c r="H54" s="12">
        <v>26</v>
      </c>
      <c r="I54" s="52">
        <v>524</v>
      </c>
      <c r="J54" s="52">
        <f>(C54*D54)+(E54*F54)</f>
        <v>14250</v>
      </c>
      <c r="K54" s="52">
        <f t="shared" ref="K54:K68" si="8">J54+I54</f>
        <v>14774</v>
      </c>
      <c r="L54" s="52">
        <f t="shared" si="5"/>
        <v>19.99224162817552</v>
      </c>
      <c r="M54" s="52" t="s">
        <v>137</v>
      </c>
      <c r="N54" s="52"/>
      <c r="O54" s="52"/>
    </row>
    <row r="55" spans="1:15">
      <c r="A55" s="52"/>
      <c r="B55" s="52"/>
      <c r="C55" s="52"/>
      <c r="D55" s="52"/>
      <c r="E55" s="52"/>
      <c r="F55" s="52"/>
      <c r="G55" s="12">
        <v>3</v>
      </c>
      <c r="H55" s="12">
        <v>10</v>
      </c>
      <c r="I55" s="52"/>
      <c r="J55" s="52"/>
      <c r="K55" s="52"/>
      <c r="L55" s="52"/>
      <c r="M55" s="52"/>
      <c r="N55" s="52"/>
      <c r="O55" s="52"/>
    </row>
    <row r="56" spans="1:15">
      <c r="A56" s="52"/>
      <c r="B56" s="12" t="s">
        <v>138</v>
      </c>
      <c r="C56" s="12">
        <v>1</v>
      </c>
      <c r="D56" s="12">
        <v>500</v>
      </c>
      <c r="E56" s="12">
        <v>0</v>
      </c>
      <c r="F56" s="12">
        <v>1250</v>
      </c>
      <c r="G56" s="12">
        <v>1</v>
      </c>
      <c r="H56" s="12">
        <v>11</v>
      </c>
      <c r="I56" s="12">
        <v>11</v>
      </c>
      <c r="J56" s="12">
        <f>(C56*D56)+(E56*F56)</f>
        <v>500</v>
      </c>
      <c r="K56" s="12">
        <f>J56+I56</f>
        <v>511</v>
      </c>
      <c r="L56" s="12">
        <f t="shared" si="5"/>
        <v>2.0828804347826089</v>
      </c>
      <c r="M56" s="12" t="s">
        <v>121</v>
      </c>
      <c r="N56" s="52"/>
      <c r="O56" s="52"/>
    </row>
    <row r="57" spans="1:15">
      <c r="A57" s="54" t="s">
        <v>122</v>
      </c>
      <c r="B57" s="54"/>
      <c r="C57" s="54"/>
      <c r="D57" s="54"/>
      <c r="E57" s="54"/>
      <c r="F57" s="54"/>
      <c r="G57" s="54"/>
      <c r="H57" s="54"/>
      <c r="I57" s="54"/>
      <c r="J57" s="54"/>
      <c r="K57" s="56">
        <f>SUM(K49:K56)</f>
        <v>36775</v>
      </c>
      <c r="L57" s="56"/>
      <c r="M57" s="56"/>
      <c r="N57" s="56"/>
      <c r="O57" s="56"/>
    </row>
    <row r="58" spans="1:15">
      <c r="L58" s="14"/>
      <c r="M58" s="14"/>
    </row>
    <row r="59" spans="1:15">
      <c r="L59" s="14"/>
      <c r="M59" s="14"/>
    </row>
    <row r="60" spans="1:15">
      <c r="L60" s="14"/>
      <c r="M60" s="14"/>
    </row>
    <row r="61" spans="1:15">
      <c r="A61" s="10" t="s">
        <v>100</v>
      </c>
      <c r="B61" s="10" t="s">
        <v>101</v>
      </c>
      <c r="C61" s="10" t="s">
        <v>102</v>
      </c>
      <c r="D61" s="10" t="s">
        <v>103</v>
      </c>
      <c r="E61" s="10" t="s">
        <v>125</v>
      </c>
      <c r="F61" s="10" t="s">
        <v>126</v>
      </c>
      <c r="G61" s="10" t="s">
        <v>104</v>
      </c>
      <c r="H61" s="10" t="s">
        <v>105</v>
      </c>
      <c r="I61" s="10" t="s">
        <v>107</v>
      </c>
      <c r="J61" s="11" t="s">
        <v>106</v>
      </c>
      <c r="K61" s="10" t="s">
        <v>108</v>
      </c>
      <c r="L61" s="12" t="s">
        <v>127</v>
      </c>
      <c r="M61" s="12" t="s">
        <v>128</v>
      </c>
      <c r="N61" s="10" t="s">
        <v>111</v>
      </c>
      <c r="O61" s="10" t="s">
        <v>112</v>
      </c>
    </row>
    <row r="62" spans="1:15">
      <c r="A62" s="52" t="s">
        <v>139</v>
      </c>
      <c r="B62" s="52" t="s">
        <v>114</v>
      </c>
      <c r="C62" s="52">
        <v>35</v>
      </c>
      <c r="D62" s="52">
        <v>500</v>
      </c>
      <c r="E62" s="52">
        <v>3</v>
      </c>
      <c r="F62" s="52">
        <v>1250</v>
      </c>
      <c r="G62" s="12">
        <v>23</v>
      </c>
      <c r="H62" s="12">
        <v>26</v>
      </c>
      <c r="I62" s="52">
        <v>772</v>
      </c>
      <c r="J62" s="52">
        <f t="shared" si="6"/>
        <v>21250</v>
      </c>
      <c r="K62" s="52">
        <f t="shared" si="8"/>
        <v>22022</v>
      </c>
      <c r="L62" s="52">
        <f t="shared" si="5"/>
        <v>29.800267032332563</v>
      </c>
      <c r="M62" s="52" t="s">
        <v>130</v>
      </c>
      <c r="N62" s="52">
        <f>(K71*0.75)/(1.732*400*0.8)</f>
        <v>85.726851183602776</v>
      </c>
      <c r="O62" s="52" t="s">
        <v>140</v>
      </c>
    </row>
    <row r="63" spans="1:15">
      <c r="A63" s="52"/>
      <c r="B63" s="52"/>
      <c r="C63" s="52"/>
      <c r="D63" s="52"/>
      <c r="E63" s="52"/>
      <c r="F63" s="52"/>
      <c r="G63" s="12">
        <v>2</v>
      </c>
      <c r="H63" s="12">
        <v>10</v>
      </c>
      <c r="I63" s="52"/>
      <c r="J63" s="52"/>
      <c r="K63" s="52"/>
      <c r="L63" s="52"/>
      <c r="M63" s="52"/>
      <c r="N63" s="52"/>
      <c r="O63" s="52"/>
    </row>
    <row r="64" spans="1:15">
      <c r="A64" s="52"/>
      <c r="B64" s="52"/>
      <c r="C64" s="52"/>
      <c r="D64" s="52"/>
      <c r="E64" s="52"/>
      <c r="F64" s="52"/>
      <c r="G64" s="12">
        <v>8</v>
      </c>
      <c r="H64" s="12">
        <v>13</v>
      </c>
      <c r="I64" s="52"/>
      <c r="J64" s="52"/>
      <c r="K64" s="52"/>
      <c r="L64" s="52"/>
      <c r="M64" s="52"/>
      <c r="N64" s="52"/>
      <c r="O64" s="52"/>
    </row>
    <row r="65" spans="1:15">
      <c r="A65" s="52"/>
      <c r="B65" s="52"/>
      <c r="C65" s="52"/>
      <c r="D65" s="52"/>
      <c r="E65" s="52"/>
      <c r="F65" s="52"/>
      <c r="G65" s="12">
        <v>2</v>
      </c>
      <c r="H65" s="12">
        <v>25</v>
      </c>
      <c r="I65" s="52"/>
      <c r="J65" s="52"/>
      <c r="K65" s="52"/>
      <c r="L65" s="52"/>
      <c r="M65" s="52"/>
      <c r="N65" s="52"/>
      <c r="O65" s="52"/>
    </row>
    <row r="66" spans="1:15">
      <c r="A66" s="52"/>
      <c r="B66" s="52" t="s">
        <v>117</v>
      </c>
      <c r="C66" s="52">
        <v>38</v>
      </c>
      <c r="D66" s="52">
        <v>500</v>
      </c>
      <c r="E66" s="52">
        <v>2</v>
      </c>
      <c r="F66" s="52">
        <v>1250</v>
      </c>
      <c r="G66" s="12">
        <v>28</v>
      </c>
      <c r="H66" s="12">
        <v>26</v>
      </c>
      <c r="I66" s="52">
        <v>768</v>
      </c>
      <c r="J66" s="52">
        <f t="shared" si="6"/>
        <v>21500</v>
      </c>
      <c r="K66" s="52">
        <f t="shared" si="8"/>
        <v>22268</v>
      </c>
      <c r="L66" s="52">
        <f t="shared" si="5"/>
        <v>30.133155311778289</v>
      </c>
      <c r="M66" s="52" t="s">
        <v>130</v>
      </c>
      <c r="N66" s="52"/>
      <c r="O66" s="52"/>
    </row>
    <row r="67" spans="1:15">
      <c r="A67" s="52"/>
      <c r="B67" s="52"/>
      <c r="C67" s="52"/>
      <c r="D67" s="52"/>
      <c r="E67" s="52"/>
      <c r="F67" s="52"/>
      <c r="G67" s="12">
        <v>4</v>
      </c>
      <c r="H67" s="12">
        <v>10</v>
      </c>
      <c r="I67" s="52"/>
      <c r="J67" s="52"/>
      <c r="K67" s="52"/>
      <c r="L67" s="52"/>
      <c r="M67" s="52"/>
      <c r="N67" s="52"/>
      <c r="O67" s="52"/>
    </row>
    <row r="68" spans="1:15">
      <c r="A68" s="52"/>
      <c r="B68" s="52" t="s">
        <v>141</v>
      </c>
      <c r="C68" s="52">
        <v>32</v>
      </c>
      <c r="D68" s="52">
        <v>500</v>
      </c>
      <c r="E68" s="52">
        <v>2</v>
      </c>
      <c r="F68" s="52">
        <v>1250</v>
      </c>
      <c r="G68" s="12">
        <v>20</v>
      </c>
      <c r="H68" s="12">
        <v>26</v>
      </c>
      <c r="I68" s="52">
        <v>561</v>
      </c>
      <c r="J68" s="52">
        <f t="shared" si="6"/>
        <v>18500</v>
      </c>
      <c r="K68" s="52">
        <f t="shared" si="8"/>
        <v>19061</v>
      </c>
      <c r="L68" s="52">
        <f t="shared" si="5"/>
        <v>25.793428839491916</v>
      </c>
      <c r="M68" s="52" t="s">
        <v>121</v>
      </c>
      <c r="N68" s="52"/>
      <c r="O68" s="52"/>
    </row>
    <row r="69" spans="1:15">
      <c r="A69" s="52"/>
      <c r="B69" s="52"/>
      <c r="C69" s="52"/>
      <c r="D69" s="52"/>
      <c r="E69" s="52"/>
      <c r="F69" s="52"/>
      <c r="G69" s="12">
        <v>3</v>
      </c>
      <c r="H69" s="12">
        <v>10</v>
      </c>
      <c r="I69" s="52"/>
      <c r="J69" s="52"/>
      <c r="K69" s="52"/>
      <c r="L69" s="52"/>
      <c r="M69" s="52"/>
      <c r="N69" s="52"/>
      <c r="O69" s="52"/>
    </row>
    <row r="70" spans="1:15">
      <c r="A70" s="52"/>
      <c r="B70" s="52"/>
      <c r="C70" s="52"/>
      <c r="D70" s="52"/>
      <c r="E70" s="52"/>
      <c r="F70" s="52"/>
      <c r="G70" s="12">
        <v>1</v>
      </c>
      <c r="H70" s="12">
        <v>11</v>
      </c>
      <c r="I70" s="52"/>
      <c r="J70" s="52"/>
      <c r="K70" s="52"/>
      <c r="L70" s="52"/>
      <c r="M70" s="52"/>
      <c r="N70" s="52"/>
      <c r="O70" s="52"/>
    </row>
    <row r="71" spans="1:15">
      <c r="A71" s="54" t="s">
        <v>122</v>
      </c>
      <c r="B71" s="54"/>
      <c r="C71" s="54"/>
      <c r="D71" s="54"/>
      <c r="E71" s="54"/>
      <c r="F71" s="54"/>
      <c r="G71" s="54"/>
      <c r="H71" s="54"/>
      <c r="I71" s="54"/>
      <c r="J71" s="54"/>
      <c r="K71" s="55">
        <f>SUM(K62:K70)</f>
        <v>63351</v>
      </c>
      <c r="L71" s="55"/>
      <c r="M71" s="55"/>
      <c r="N71" s="55"/>
      <c r="O71" s="55"/>
    </row>
    <row r="72" spans="1:15">
      <c r="L72" s="14"/>
      <c r="M72" s="14"/>
    </row>
    <row r="73" spans="1:15">
      <c r="L73" s="14"/>
      <c r="M73" s="14"/>
    </row>
    <row r="74" spans="1:15">
      <c r="A74" s="10" t="s">
        <v>100</v>
      </c>
      <c r="B74" s="10" t="s">
        <v>101</v>
      </c>
      <c r="C74" s="10" t="s">
        <v>102</v>
      </c>
      <c r="D74" s="10" t="s">
        <v>103</v>
      </c>
      <c r="E74" s="10" t="s">
        <v>125</v>
      </c>
      <c r="F74" s="10" t="s">
        <v>126</v>
      </c>
      <c r="G74" s="10" t="s">
        <v>104</v>
      </c>
      <c r="H74" s="10" t="s">
        <v>105</v>
      </c>
      <c r="I74" s="10" t="s">
        <v>107</v>
      </c>
      <c r="J74" s="11" t="s">
        <v>106</v>
      </c>
      <c r="K74" s="10" t="s">
        <v>108</v>
      </c>
      <c r="L74" s="12" t="s">
        <v>127</v>
      </c>
      <c r="M74" s="12" t="s">
        <v>128</v>
      </c>
      <c r="N74" s="10" t="s">
        <v>111</v>
      </c>
      <c r="O74" s="10" t="s">
        <v>112</v>
      </c>
    </row>
    <row r="75" spans="1:15">
      <c r="A75" s="52" t="s">
        <v>142</v>
      </c>
      <c r="B75" s="52" t="s">
        <v>114</v>
      </c>
      <c r="C75" s="52">
        <v>49</v>
      </c>
      <c r="D75" s="52">
        <v>500</v>
      </c>
      <c r="E75" s="52">
        <v>4</v>
      </c>
      <c r="F75" s="52">
        <v>1250</v>
      </c>
      <c r="G75" s="12">
        <v>32</v>
      </c>
      <c r="H75" s="12">
        <v>26</v>
      </c>
      <c r="I75" s="52">
        <v>966</v>
      </c>
      <c r="J75" s="52">
        <f>(C75*D75)+(E75*F75)</f>
        <v>29500</v>
      </c>
      <c r="K75" s="52">
        <f>J75+I75</f>
        <v>30466</v>
      </c>
      <c r="L75" s="52">
        <f t="shared" si="5"/>
        <v>41.226724884526561</v>
      </c>
      <c r="M75" s="52" t="s">
        <v>143</v>
      </c>
      <c r="N75" s="52">
        <f>(K79*0.75)/(1.732*400*0.8)</f>
        <v>41.916859122401846</v>
      </c>
      <c r="O75" s="52" t="s">
        <v>143</v>
      </c>
    </row>
    <row r="76" spans="1:15">
      <c r="A76" s="52"/>
      <c r="B76" s="52"/>
      <c r="C76" s="52"/>
      <c r="D76" s="52"/>
      <c r="E76" s="52"/>
      <c r="F76" s="52"/>
      <c r="G76" s="12">
        <v>8</v>
      </c>
      <c r="H76" s="12">
        <v>13</v>
      </c>
      <c r="I76" s="52"/>
      <c r="J76" s="52"/>
      <c r="K76" s="52"/>
      <c r="L76" s="52"/>
      <c r="M76" s="52"/>
      <c r="N76" s="52"/>
      <c r="O76" s="52"/>
    </row>
    <row r="77" spans="1:15">
      <c r="A77" s="52"/>
      <c r="B77" s="52"/>
      <c r="C77" s="52"/>
      <c r="D77" s="52"/>
      <c r="E77" s="52"/>
      <c r="F77" s="52"/>
      <c r="G77" s="12">
        <v>3</v>
      </c>
      <c r="H77" s="12">
        <v>10</v>
      </c>
      <c r="I77" s="52"/>
      <c r="J77" s="52"/>
      <c r="K77" s="52"/>
      <c r="L77" s="52"/>
      <c r="M77" s="52"/>
      <c r="N77" s="52"/>
      <c r="O77" s="52"/>
    </row>
    <row r="78" spans="1:15">
      <c r="A78" s="52"/>
      <c r="B78" s="12" t="s">
        <v>144</v>
      </c>
      <c r="C78" s="12">
        <v>1</v>
      </c>
      <c r="D78" s="12">
        <v>500</v>
      </c>
      <c r="E78" s="12">
        <v>0</v>
      </c>
      <c r="F78" s="12">
        <v>1250</v>
      </c>
      <c r="G78" s="12">
        <v>1</v>
      </c>
      <c r="H78" s="12">
        <v>10</v>
      </c>
      <c r="I78" s="12">
        <v>10</v>
      </c>
      <c r="J78" s="12">
        <f>(C78*D78)+(E78*F78)</f>
        <v>500</v>
      </c>
      <c r="K78" s="12">
        <f>J78+I78</f>
        <v>510</v>
      </c>
      <c r="L78" s="12">
        <f t="shared" si="5"/>
        <v>2.0788043478260869</v>
      </c>
      <c r="M78" s="12" t="s">
        <v>121</v>
      </c>
      <c r="N78" s="52"/>
      <c r="O78" s="52"/>
    </row>
    <row r="79" spans="1:15">
      <c r="A79" s="54" t="s">
        <v>122</v>
      </c>
      <c r="B79" s="54"/>
      <c r="C79" s="54"/>
      <c r="D79" s="54"/>
      <c r="E79" s="54"/>
      <c r="F79" s="54"/>
      <c r="G79" s="54"/>
      <c r="H79" s="54"/>
      <c r="I79" s="54"/>
      <c r="J79" s="54"/>
      <c r="K79" s="56">
        <f>SUM(K75:K78)</f>
        <v>30976</v>
      </c>
      <c r="L79" s="56"/>
      <c r="M79" s="56"/>
      <c r="N79" s="56"/>
      <c r="O79" s="56"/>
    </row>
  </sheetData>
  <mergeCells count="166">
    <mergeCell ref="O20:O30"/>
    <mergeCell ref="N35:N44"/>
    <mergeCell ref="N49:N56"/>
    <mergeCell ref="N62:N70"/>
    <mergeCell ref="N75:N78"/>
    <mergeCell ref="O35:O44"/>
    <mergeCell ref="O49:O56"/>
    <mergeCell ref="O62:O70"/>
    <mergeCell ref="O75:O78"/>
    <mergeCell ref="L49:L53"/>
    <mergeCell ref="L42:L43"/>
    <mergeCell ref="L39:L41"/>
    <mergeCell ref="L35:L38"/>
    <mergeCell ref="L26:L29"/>
    <mergeCell ref="L20:L24"/>
    <mergeCell ref="L2:L11"/>
    <mergeCell ref="M2:M11"/>
    <mergeCell ref="N20:N30"/>
    <mergeCell ref="F2:F3"/>
    <mergeCell ref="E2:E3"/>
    <mergeCell ref="D2:D3"/>
    <mergeCell ref="C2:C3"/>
    <mergeCell ref="B2:B3"/>
    <mergeCell ref="M75:M77"/>
    <mergeCell ref="M68:M70"/>
    <mergeCell ref="M66:M67"/>
    <mergeCell ref="M62:M65"/>
    <mergeCell ref="M54:M55"/>
    <mergeCell ref="M49:M53"/>
    <mergeCell ref="M42:M43"/>
    <mergeCell ref="M39:M41"/>
    <mergeCell ref="M35:M38"/>
    <mergeCell ref="M26:M29"/>
    <mergeCell ref="M20:M24"/>
    <mergeCell ref="K8:K10"/>
    <mergeCell ref="K4:K7"/>
    <mergeCell ref="K2:K3"/>
    <mergeCell ref="L75:L77"/>
    <mergeCell ref="L68:L70"/>
    <mergeCell ref="L66:L67"/>
    <mergeCell ref="L62:L65"/>
    <mergeCell ref="L54:L55"/>
    <mergeCell ref="A2:A11"/>
    <mergeCell ref="I20:I24"/>
    <mergeCell ref="I26:I29"/>
    <mergeCell ref="A20:A30"/>
    <mergeCell ref="B20:B24"/>
    <mergeCell ref="B26:B29"/>
    <mergeCell ref="H8:H10"/>
    <mergeCell ref="I8:I10"/>
    <mergeCell ref="J8:J10"/>
    <mergeCell ref="G8:G10"/>
    <mergeCell ref="B8:B10"/>
    <mergeCell ref="C8:C10"/>
    <mergeCell ref="D8:D10"/>
    <mergeCell ref="B4:B7"/>
    <mergeCell ref="G4:G7"/>
    <mergeCell ref="H4:H7"/>
    <mergeCell ref="I4:I7"/>
    <mergeCell ref="J4:J7"/>
    <mergeCell ref="C4:C7"/>
    <mergeCell ref="D4:D7"/>
    <mergeCell ref="J2:J3"/>
    <mergeCell ref="I2:I3"/>
    <mergeCell ref="H2:H3"/>
    <mergeCell ref="J26:J29"/>
    <mergeCell ref="K26:K29"/>
    <mergeCell ref="J20:J24"/>
    <mergeCell ref="K20:K24"/>
    <mergeCell ref="C26:C29"/>
    <mergeCell ref="D26:D29"/>
    <mergeCell ref="E26:E29"/>
    <mergeCell ref="F26:F29"/>
    <mergeCell ref="C20:C24"/>
    <mergeCell ref="D20:D24"/>
    <mergeCell ref="E20:E24"/>
    <mergeCell ref="F20:F24"/>
    <mergeCell ref="B39:B41"/>
    <mergeCell ref="K54:K55"/>
    <mergeCell ref="J54:J55"/>
    <mergeCell ref="I54:I55"/>
    <mergeCell ref="K49:K53"/>
    <mergeCell ref="J49:J53"/>
    <mergeCell ref="I49:I53"/>
    <mergeCell ref="C54:C55"/>
    <mergeCell ref="C49:C53"/>
    <mergeCell ref="B54:B55"/>
    <mergeCell ref="B49:B53"/>
    <mergeCell ref="A35:A44"/>
    <mergeCell ref="K35:K38"/>
    <mergeCell ref="J35:J38"/>
    <mergeCell ref="I35:I38"/>
    <mergeCell ref="F35:F38"/>
    <mergeCell ref="E35:E38"/>
    <mergeCell ref="D35:D38"/>
    <mergeCell ref="C35:C38"/>
    <mergeCell ref="B35:B38"/>
    <mergeCell ref="K39:K41"/>
    <mergeCell ref="I42:I43"/>
    <mergeCell ref="J42:J43"/>
    <mergeCell ref="K42:K43"/>
    <mergeCell ref="F39:F41"/>
    <mergeCell ref="E39:E41"/>
    <mergeCell ref="D39:D41"/>
    <mergeCell ref="J39:J41"/>
    <mergeCell ref="I39:I41"/>
    <mergeCell ref="B42:B43"/>
    <mergeCell ref="C42:C43"/>
    <mergeCell ref="D42:D43"/>
    <mergeCell ref="E42:E43"/>
    <mergeCell ref="F42:F43"/>
    <mergeCell ref="C39:C41"/>
    <mergeCell ref="A49:A56"/>
    <mergeCell ref="D49:D53"/>
    <mergeCell ref="D54:D55"/>
    <mergeCell ref="F54:F55"/>
    <mergeCell ref="F49:F53"/>
    <mergeCell ref="E54:E55"/>
    <mergeCell ref="E49:E53"/>
    <mergeCell ref="I62:I65"/>
    <mergeCell ref="F68:F70"/>
    <mergeCell ref="F66:F67"/>
    <mergeCell ref="F62:F65"/>
    <mergeCell ref="E62:E65"/>
    <mergeCell ref="D68:D70"/>
    <mergeCell ref="D66:D67"/>
    <mergeCell ref="D62:D65"/>
    <mergeCell ref="I68:I70"/>
    <mergeCell ref="I66:I67"/>
    <mergeCell ref="E75:E77"/>
    <mergeCell ref="D75:D77"/>
    <mergeCell ref="C75:C77"/>
    <mergeCell ref="B75:B77"/>
    <mergeCell ref="A75:A78"/>
    <mergeCell ref="C68:C70"/>
    <mergeCell ref="C66:C67"/>
    <mergeCell ref="C62:C65"/>
    <mergeCell ref="B68:B70"/>
    <mergeCell ref="B66:B67"/>
    <mergeCell ref="B62:B65"/>
    <mergeCell ref="E68:E70"/>
    <mergeCell ref="E66:E67"/>
    <mergeCell ref="A71:J71"/>
    <mergeCell ref="K71:O71"/>
    <mergeCell ref="A79:J79"/>
    <mergeCell ref="K79:O79"/>
    <mergeCell ref="A31:J31"/>
    <mergeCell ref="K31:O31"/>
    <mergeCell ref="A12:H12"/>
    <mergeCell ref="I12:M12"/>
    <mergeCell ref="G2:G3"/>
    <mergeCell ref="A45:J45"/>
    <mergeCell ref="K45:O45"/>
    <mergeCell ref="A57:J57"/>
    <mergeCell ref="K57:O57"/>
    <mergeCell ref="K68:K70"/>
    <mergeCell ref="K66:K67"/>
    <mergeCell ref="K62:K65"/>
    <mergeCell ref="J68:J70"/>
    <mergeCell ref="J66:J67"/>
    <mergeCell ref="J62:J65"/>
    <mergeCell ref="A62:A70"/>
    <mergeCell ref="K75:K77"/>
    <mergeCell ref="J75:J77"/>
    <mergeCell ref="I75:I77"/>
    <mergeCell ref="F75:F7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ada189-f960-4812-a884-66fe2d32c816">
      <Terms xmlns="http://schemas.microsoft.com/office/infopath/2007/PartnerControls"/>
    </lcf76f155ced4ddcb4097134ff3c332f>
    <TaxCatchAll xmlns="eebcc8c7-7d7e-4924-8e54-83a4d715aec9" xsi:nil="true"/>
    <ReferenceId xmlns="51ada189-f960-4812-a884-66fe2d32c8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4A8F8EC2E74F4DAE38A24FAEB74C63" ma:contentTypeVersion="12" ma:contentTypeDescription="Create a new document." ma:contentTypeScope="" ma:versionID="4b7e9a3181b93c65b37166b7db2aa2fa">
  <xsd:schema xmlns:xsd="http://www.w3.org/2001/XMLSchema" xmlns:xs="http://www.w3.org/2001/XMLSchema" xmlns:p="http://schemas.microsoft.com/office/2006/metadata/properties" xmlns:ns2="51ada189-f960-4812-a884-66fe2d32c816" xmlns:ns3="eebcc8c7-7d7e-4924-8e54-83a4d715aec9" targetNamespace="http://schemas.microsoft.com/office/2006/metadata/properties" ma:root="true" ma:fieldsID="88945b1651a0451ab86f909e4e20e9f2" ns2:_="" ns3:_="">
    <xsd:import namespace="51ada189-f960-4812-a884-66fe2d32c816"/>
    <xsd:import namespace="eebcc8c7-7d7e-4924-8e54-83a4d715aec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a189-f960-4812-a884-66fe2d32c816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77d71ef-97fb-463c-997b-5d178c4bb1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cc8c7-7d7e-4924-8e54-83a4d715aec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e6ebc40-fc53-4e48-9f90-6e64be28708b}" ma:internalName="TaxCatchAll" ma:showField="CatchAllData" ma:web="eebcc8c7-7d7e-4924-8e54-83a4d715ae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1DAF1C-ED40-45DE-888F-BA9A544C5A26}"/>
</file>

<file path=customXml/itemProps2.xml><?xml version="1.0" encoding="utf-8"?>
<ds:datastoreItem xmlns:ds="http://schemas.openxmlformats.org/officeDocument/2006/customXml" ds:itemID="{7FC40D49-904F-413F-9412-A50A4AE39CE8}"/>
</file>

<file path=customXml/itemProps3.xml><?xml version="1.0" encoding="utf-8"?>
<ds:datastoreItem xmlns:ds="http://schemas.openxmlformats.org/officeDocument/2006/customXml" ds:itemID="{4E09BC90-2EC7-4040-A0D6-9D8DFE6C37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Rohit Shrestha</dc:creator>
  <cp:keywords/>
  <dc:description/>
  <cp:lastModifiedBy>Shubhanga Aryal</cp:lastModifiedBy>
  <cp:revision/>
  <dcterms:created xsi:type="dcterms:W3CDTF">2024-12-02T09:29:24Z</dcterms:created>
  <dcterms:modified xsi:type="dcterms:W3CDTF">2025-02-19T12:15:32Z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0x010100F34A8F8EC2E74F4DAE38A24FAEB74C63</vt:lpwstr>
  </property>
  <property fmtid="{D5CDD505-2E9C-101B-9397-08002B2CF9AE}" pid="3" name="MediaServiceImageTags">
    <vt:lpwstr/>
  </property>
</Properties>
</file>